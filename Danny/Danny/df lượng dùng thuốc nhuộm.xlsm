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bookViews>
    <workbookView xWindow="-120" yWindow="-120" windowWidth="29040" windowHeight="15720"/>
  </bookViews>
  <sheets>
    <sheet name="dye" sheetId="1" r:id="rId1"/>
    <sheet name="dye2" sheetId="2" r:id="rId2"/>
    <sheet name="dye2 (30)" sheetId="9" r:id="rId3"/>
    <sheet name="THIẾT BỊ CÂN LIỆU" sheetId="5" r:id="rId4"/>
    <sheet name="dye3" sheetId="6" r:id="rId5"/>
    <sheet name="IN TEM" sheetId="7" r:id="rId6"/>
    <sheet name="bảng tính lương" sheetId="4" r:id="rId7"/>
    <sheet name="Sheet1" sheetId="8" r:id="rId8"/>
  </sheets>
  <definedNames>
    <definedName name="_xlnm._FilterDatabase" localSheetId="0" hidden="1">dye!$A$1:$M$938</definedName>
    <definedName name="_xlnm.Print_Area" localSheetId="5">'IN TEM'!$A$1:$A$2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6" i="9" l="1"/>
  <c r="J21" i="8" l="1"/>
  <c r="K20" i="8"/>
  <c r="K21" i="8" s="1"/>
  <c r="L20" i="8"/>
  <c r="L21" i="8" s="1"/>
  <c r="M20" i="8"/>
  <c r="M21" i="8" s="1"/>
  <c r="J20" i="8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123" i="9" s="1"/>
  <c r="K14" i="7" l="1"/>
  <c r="G14" i="7"/>
  <c r="C18" i="5"/>
  <c r="B5" i="4"/>
  <c r="A5" i="4"/>
  <c r="B7" i="4"/>
  <c r="B8" i="4"/>
  <c r="B6" i="4"/>
  <c r="B4" i="4"/>
  <c r="B9" i="4" l="1"/>
  <c r="B11" i="4" s="1"/>
</calcChain>
</file>

<file path=xl/sharedStrings.xml><?xml version="1.0" encoding="utf-8"?>
<sst xmlns="http://schemas.openxmlformats.org/spreadsheetml/2006/main" count="8836" uniqueCount="1198">
  <si>
    <t>ID</t>
  </si>
  <si>
    <t>batchID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</si>
  <si>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</si>
  <si>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</si>
  <si>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</si>
  <si>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</si>
  <si>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</si>
  <si>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</si>
  <si>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</si>
  <si>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</si>
  <si>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</si>
  <si>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processCOLOR</t>
  </si>
  <si>
    <t>ACCEPTED</t>
  </si>
  <si>
    <t>G4024A</t>
  </si>
  <si>
    <t>Y1103</t>
  </si>
  <si>
    <t>REJECTED</t>
  </si>
  <si>
    <t>R2128</t>
  </si>
  <si>
    <t>C6104</t>
  </si>
  <si>
    <t>Y1120</t>
  </si>
  <si>
    <t>T5095</t>
  </si>
  <si>
    <t>MaxTime</t>
  </si>
  <si>
    <t>R2140</t>
  </si>
  <si>
    <t>R2136</t>
  </si>
  <si>
    <t>R2034G</t>
  </si>
  <si>
    <t>DyeCode</t>
  </si>
  <si>
    <t>TotalWeight</t>
  </si>
  <si>
    <t>B3001A</t>
  </si>
  <si>
    <t>B3129</t>
  </si>
  <si>
    <t>B6303C</t>
  </si>
  <si>
    <t>BK5002</t>
  </si>
  <si>
    <t>BK5028</t>
  </si>
  <si>
    <t>BK8817D</t>
  </si>
  <si>
    <t>BK9107</t>
  </si>
  <si>
    <t>R2102</t>
  </si>
  <si>
    <t>R6203C</t>
  </si>
  <si>
    <t>W5011</t>
  </si>
  <si>
    <t>Y1121</t>
  </si>
  <si>
    <t>Y6103C</t>
  </si>
  <si>
    <t>tl</t>
  </si>
  <si>
    <t>cc</t>
  </si>
  <si>
    <t>lcb</t>
  </si>
  <si>
    <t>tc1</t>
  </si>
  <si>
    <t>tc2</t>
  </si>
  <si>
    <t>p1</t>
  </si>
  <si>
    <t>p2</t>
  </si>
  <si>
    <t>p3</t>
  </si>
  <si>
    <t>p4</t>
  </si>
  <si>
    <t>p5</t>
  </si>
  <si>
    <t>p6</t>
  </si>
  <si>
    <t>ctt</t>
  </si>
  <si>
    <t>tc1.5</t>
  </si>
  <si>
    <t>tc2.0</t>
  </si>
  <si>
    <t>tc3.0</t>
  </si>
  <si>
    <t>ttc</t>
  </si>
  <si>
    <t>tc 1.5</t>
  </si>
  <si>
    <t>tc 2</t>
  </si>
  <si>
    <t>tc 3</t>
  </si>
  <si>
    <t>đầu quét qr</t>
  </si>
  <si>
    <t>stt</t>
  </si>
  <si>
    <t>vị trí</t>
  </si>
  <si>
    <t>số lượng</t>
  </si>
  <si>
    <t>mục đích</t>
  </si>
  <si>
    <t>máy tính Q2</t>
  </si>
  <si>
    <t>máy tính Q3</t>
  </si>
  <si>
    <t>sản xuất nhập đơn báo phát liệu</t>
  </si>
  <si>
    <t>máy tính DF026</t>
  </si>
  <si>
    <t>máy tính DF027</t>
  </si>
  <si>
    <t>máy tính DF029</t>
  </si>
  <si>
    <t>phòng liệu quét mã cân thuốc nhuộm</t>
  </si>
  <si>
    <t>phòng liệu quét mã cân hóa chất</t>
  </si>
  <si>
    <t>máy supervisor</t>
  </si>
  <si>
    <t>phòng liệu quét mã phát hóa chất tự động DLG/ A11</t>
  </si>
  <si>
    <t>máy Jit</t>
  </si>
  <si>
    <t>phòng liệu quét mã phát thuốc nhuộm máy Jit</t>
  </si>
  <si>
    <t>máy E13</t>
  </si>
  <si>
    <t>phòng liệu quét mã phát thuốc nhuộm máy E12/E13</t>
  </si>
  <si>
    <t>máy datacolor</t>
  </si>
  <si>
    <t>LTB quét mã tạo QR đơn phụ bản</t>
  </si>
  <si>
    <t>in hoa mượn</t>
  </si>
  <si>
    <t>quét mã cân thuốc nhuộm</t>
  </si>
  <si>
    <t>máy tính cân liệu</t>
  </si>
  <si>
    <t>quét mã cân thuốc nhuộm/chưa lĩnh được máy tính</t>
  </si>
  <si>
    <t>máy lấy liệu tự động</t>
  </si>
  <si>
    <t>quét mã lấy liệu/tháng 6 lắp máy</t>
  </si>
  <si>
    <t xml:space="preserve">tổng </t>
  </si>
  <si>
    <t>máy semi</t>
  </si>
  <si>
    <t>dùng đầu quét mã mò được trong thùng rác/case máy tính quá yếu không chịu được đầu quét "datalogic quickscan" hiện tại</t>
  </si>
  <si>
    <t>máy in tem</t>
  </si>
  <si>
    <t>in tem dữ liệu cân màu/máy cũ báo phế tận dụng</t>
  </si>
  <si>
    <t>máy df026</t>
  </si>
  <si>
    <t>in tem dữ liệu cân màu/máy tsc te200 mới/tem 40*60</t>
  </si>
  <si>
    <t>máy df029</t>
  </si>
  <si>
    <t>in tem dữ liệu cân hóa chất/máy tsc te200 mới/tem 40*60</t>
  </si>
  <si>
    <t>máy df028</t>
  </si>
  <si>
    <t>in tem qr cân liệu/phát liệu; máy tsc te200 mới/tem 70*100</t>
  </si>
  <si>
    <t>máy tính</t>
  </si>
  <si>
    <t>name</t>
  </si>
  <si>
    <t>df002</t>
  </si>
  <si>
    <t>df024</t>
  </si>
  <si>
    <t>df026</t>
  </si>
  <si>
    <t>df027</t>
  </si>
  <si>
    <t>df028</t>
  </si>
  <si>
    <t>df029</t>
  </si>
  <si>
    <t>supervisior</t>
  </si>
  <si>
    <t>jit</t>
  </si>
  <si>
    <t>e13</t>
  </si>
  <si>
    <t>phòng họp DF</t>
  </si>
  <si>
    <t>báo dữ liệu sản xuât</t>
  </si>
  <si>
    <t>phòng liệu DF</t>
  </si>
  <si>
    <t>lĩnh liệu, check dữ liệu, chat chit</t>
  </si>
  <si>
    <t>cân thuốc nhuộm</t>
  </si>
  <si>
    <t>báo phát liệu</t>
  </si>
  <si>
    <t>cân hóa chất</t>
  </si>
  <si>
    <t>nhà kính</t>
  </si>
  <si>
    <t>mở trực tiếp phần mềm máy DLG A11</t>
  </si>
  <si>
    <t>teamview máy 105; sản xuất báo phát hóa chất vd06-vd13</t>
  </si>
  <si>
    <t>mở phần mềm máy jit</t>
  </si>
  <si>
    <t>mở phần mềm máy E12/E13/A12/SCC MAN</t>
  </si>
  <si>
    <t>SEMI</t>
  </si>
  <si>
    <t>MỞ PHẦN MỀM MÁY SEMI/MÁY ĐI KÈM HỆ THỐNG</t>
  </si>
  <si>
    <t>GHI CHÚ</t>
  </si>
  <si>
    <t>MÀN HÌNH LẮP CHO MÁY SUPERVISIOR</t>
  </si>
  <si>
    <t>KHÔNG MÀN, KHÔNG BÀN PHÍM, KHÔNG CHUỘT</t>
  </si>
  <si>
    <t>Count</t>
  </si>
  <si>
    <t>B3024G</t>
  </si>
  <si>
    <t>R2131</t>
  </si>
  <si>
    <t>R2129</t>
  </si>
  <si>
    <t>C4013G</t>
  </si>
  <si>
    <t>Y1130</t>
  </si>
  <si>
    <t>V5105</t>
  </si>
  <si>
    <t>P7104</t>
  </si>
  <si>
    <t>Y1132</t>
  </si>
  <si>
    <t>B3035A</t>
  </si>
  <si>
    <t>Y1023A</t>
  </si>
  <si>
    <t>B3136</t>
  </si>
  <si>
    <t>Y1019A</t>
  </si>
  <si>
    <t>Y1009A</t>
  </si>
  <si>
    <t>Y1104</t>
  </si>
  <si>
    <t>Y1034A</t>
  </si>
  <si>
    <t>B3128</t>
  </si>
  <si>
    <t>Y1003A</t>
  </si>
  <si>
    <t>G4010G</t>
  </si>
  <si>
    <t>B3071A</t>
  </si>
  <si>
    <t>G4003A</t>
  </si>
  <si>
    <t>B3110</t>
  </si>
  <si>
    <t>R2001A</t>
  </si>
  <si>
    <t>R2132</t>
  </si>
  <si>
    <t>R2011A</t>
  </si>
  <si>
    <t>Y1017G</t>
  </si>
  <si>
    <t>R2112</t>
  </si>
  <si>
    <t>R2064G</t>
  </si>
  <si>
    <t>R2142</t>
  </si>
  <si>
    <t>Y1026G</t>
  </si>
  <si>
    <t>B3055G</t>
  </si>
  <si>
    <t>B3034A</t>
  </si>
  <si>
    <t>R2124</t>
  </si>
  <si>
    <t>B3125</t>
  </si>
  <si>
    <t>B3106</t>
  </si>
  <si>
    <t>B3026A</t>
  </si>
  <si>
    <t>R7201H</t>
  </si>
  <si>
    <t>B3038A</t>
  </si>
  <si>
    <t>B3006G</t>
  </si>
  <si>
    <t>Y1008A</t>
  </si>
  <si>
    <t>R2110</t>
  </si>
  <si>
    <t>R2143</t>
  </si>
  <si>
    <t>G4109</t>
  </si>
  <si>
    <t>R2130</t>
  </si>
  <si>
    <t>Y1108</t>
  </si>
  <si>
    <t>B8301D</t>
  </si>
  <si>
    <t>R2107</t>
  </si>
  <si>
    <t>V4017A</t>
  </si>
  <si>
    <t>B3022G</t>
  </si>
  <si>
    <t>R2008G</t>
  </si>
  <si>
    <t>BK5026</t>
  </si>
  <si>
    <t>Y1047G</t>
  </si>
  <si>
    <t>Y1031A</t>
  </si>
  <si>
    <t>B3025A</t>
  </si>
  <si>
    <t>R2114</t>
  </si>
  <si>
    <t>R2145</t>
  </si>
  <si>
    <t>V4007A</t>
  </si>
  <si>
    <t>Y7107H</t>
  </si>
  <si>
    <t>BK5019</t>
  </si>
  <si>
    <t>R2103</t>
  </si>
  <si>
    <t>B6304C</t>
  </si>
  <si>
    <t>B3308</t>
  </si>
  <si>
    <t>R2106</t>
  </si>
  <si>
    <t>B3124</t>
  </si>
  <si>
    <t>B3114</t>
  </si>
  <si>
    <t>Y1005G</t>
  </si>
  <si>
    <t>Y8101D</t>
  </si>
  <si>
    <t>R2303</t>
  </si>
  <si>
    <t>R8201D</t>
  </si>
  <si>
    <t>Y8118D</t>
  </si>
  <si>
    <t>B3113</t>
  </si>
  <si>
    <t>Y1028A</t>
  </si>
  <si>
    <t>B6305C</t>
  </si>
  <si>
    <t>R6205C</t>
  </si>
  <si>
    <t>P7102</t>
  </si>
  <si>
    <t>Y6102C</t>
  </si>
  <si>
    <t>Y1307</t>
  </si>
  <si>
    <t>C4028G</t>
  </si>
  <si>
    <t>C4006G</t>
  </si>
  <si>
    <t>R2308</t>
  </si>
  <si>
    <t>DLG发助剂</t>
  </si>
  <si>
    <t>水量</t>
  </si>
  <si>
    <t>JIT发染料</t>
  </si>
  <si>
    <t>系统-固定</t>
  </si>
  <si>
    <t>一共</t>
  </si>
  <si>
    <t>手称粉料</t>
  </si>
  <si>
    <t>自动滴料</t>
  </si>
  <si>
    <t>染料</t>
  </si>
  <si>
    <t>最少1升</t>
  </si>
  <si>
    <t>方案1</t>
  </si>
  <si>
    <t>差异</t>
  </si>
  <si>
    <t>2%-4%</t>
  </si>
  <si>
    <t>方案2</t>
  </si>
  <si>
    <t>50l 的配方料房只发45-47升，染色机台员工自己充水够50l</t>
  </si>
  <si>
    <t>T5244</t>
  </si>
  <si>
    <t>T7577</t>
  </si>
  <si>
    <t>LR32895</t>
  </si>
  <si>
    <t>LR5A356</t>
  </si>
  <si>
    <t>T7020</t>
  </si>
  <si>
    <t>SC28</t>
  </si>
  <si>
    <t>LR7028</t>
  </si>
  <si>
    <t>LR7A681</t>
  </si>
  <si>
    <t>T7008</t>
  </si>
  <si>
    <t>固色剂</t>
  </si>
  <si>
    <t>AC77</t>
  </si>
  <si>
    <t>AC78</t>
  </si>
  <si>
    <t>地双份固色剂</t>
  </si>
  <si>
    <t>AC123</t>
  </si>
  <si>
    <t>AC122</t>
  </si>
  <si>
    <t>助剂</t>
  </si>
  <si>
    <t>防黄剂</t>
  </si>
  <si>
    <t>AC68</t>
  </si>
  <si>
    <t>配方要求（g/l)</t>
  </si>
  <si>
    <t>机台设定</t>
  </si>
  <si>
    <t>备注</t>
  </si>
  <si>
    <t>浅色</t>
  </si>
  <si>
    <t>白色</t>
  </si>
  <si>
    <t>深色</t>
  </si>
  <si>
    <t>洗水（l）</t>
  </si>
  <si>
    <t>A11自动发上大桶</t>
  </si>
  <si>
    <t>WH_DONE</t>
  </si>
  <si>
    <t>WH_TIME</t>
  </si>
  <si>
    <t>R2014A</t>
  </si>
  <si>
    <t>1023A</t>
  </si>
  <si>
    <t>B^304C</t>
  </si>
  <si>
    <t>B3041A</t>
  </si>
  <si>
    <t>B3112</t>
  </si>
  <si>
    <t>B7301H</t>
  </si>
  <si>
    <t>C6105</t>
  </si>
  <si>
    <t>G8501D</t>
  </si>
  <si>
    <t>P4005G</t>
  </si>
  <si>
    <t>P71048</t>
  </si>
  <si>
    <t>R2012A</t>
  </si>
  <si>
    <t>R2030A</t>
  </si>
  <si>
    <t>R2044A</t>
  </si>
  <si>
    <t>R2104</t>
  </si>
  <si>
    <t>R2135</t>
  </si>
  <si>
    <t>R6204C</t>
  </si>
  <si>
    <t>R7202H</t>
  </si>
  <si>
    <t>R7207H</t>
  </si>
  <si>
    <t>V4007</t>
  </si>
  <si>
    <t>V5101</t>
  </si>
  <si>
    <t>V8405D</t>
  </si>
  <si>
    <t>W8301</t>
  </si>
  <si>
    <t>Y6105C</t>
  </si>
  <si>
    <t>Y7101H</t>
  </si>
  <si>
    <t>DF 染料消耗最近30天（数据开大料）</t>
  </si>
  <si>
    <t>kg</t>
  </si>
  <si>
    <t>TotalWeight（g）</t>
  </si>
  <si>
    <t>SUM</t>
  </si>
  <si>
    <t>AC02</t>
  </si>
  <si>
    <t>AC03</t>
  </si>
  <si>
    <t>AC06</t>
  </si>
  <si>
    <t>AC10</t>
  </si>
  <si>
    <t>AC91</t>
  </si>
  <si>
    <t>B3071A6060</t>
  </si>
  <si>
    <t>B3071A61</t>
  </si>
  <si>
    <t>B311055</t>
  </si>
  <si>
    <t>B3123</t>
  </si>
  <si>
    <t>B312844</t>
  </si>
  <si>
    <t>C6103</t>
  </si>
  <si>
    <t>P7301</t>
  </si>
  <si>
    <t>R2015A</t>
  </si>
  <si>
    <t>R2317</t>
  </si>
  <si>
    <t>R8218D</t>
  </si>
  <si>
    <t>VD016</t>
  </si>
  <si>
    <t>Y1102437</t>
  </si>
  <si>
    <t>Y1311</t>
  </si>
  <si>
    <t>Y8152D</t>
  </si>
  <si>
    <t>1003A</t>
  </si>
  <si>
    <t>B3024G41</t>
  </si>
  <si>
    <t>BK4002</t>
  </si>
  <si>
    <t>BK50</t>
  </si>
  <si>
    <t>BK5526</t>
  </si>
  <si>
    <t>kuv me npoj sib koj</t>
  </si>
  <si>
    <t>moog ua koj neej me</t>
  </si>
  <si>
    <t>PC08</t>
  </si>
  <si>
    <t>V5301</t>
  </si>
  <si>
    <t>Y14</t>
  </si>
  <si>
    <t>Y7102H</t>
  </si>
  <si>
    <t>AC04</t>
  </si>
  <si>
    <t>B3037A</t>
  </si>
  <si>
    <t>B6306C</t>
  </si>
  <si>
    <t>BK8810D</t>
  </si>
  <si>
    <t>G40204A</t>
  </si>
  <si>
    <t>G4104</t>
  </si>
  <si>
    <t>ï»¿#VP20591</t>
  </si>
  <si>
    <t>P4004G</t>
  </si>
  <si>
    <t>R2046A</t>
  </si>
  <si>
    <t>R2109</t>
  </si>
  <si>
    <t>VD06</t>
  </si>
  <si>
    <t>W8901D</t>
  </si>
  <si>
    <t>Y8125D</t>
  </si>
  <si>
    <t>0-30</t>
  </si>
  <si>
    <t>TIME RANGE</t>
  </si>
  <si>
    <t>TOTAL 1</t>
  </si>
  <si>
    <t>TOTAL 2</t>
  </si>
  <si>
    <t>STAGE</t>
  </si>
  <si>
    <t>31-60</t>
  </si>
  <si>
    <t>61-90</t>
  </si>
  <si>
    <t>91-120</t>
  </si>
  <si>
    <t>kho tồn</t>
  </si>
  <si>
    <t>8 thùng</t>
  </si>
  <si>
    <t>200kg</t>
  </si>
  <si>
    <t>5 thùng</t>
  </si>
  <si>
    <t>75kg</t>
  </si>
  <si>
    <t>7 thùng</t>
  </si>
  <si>
    <t>175kg</t>
  </si>
  <si>
    <t>1 thùng</t>
  </si>
  <si>
    <t>25kg</t>
  </si>
  <si>
    <t>20260615_085247</t>
  </si>
  <si>
    <t>HS27370</t>
  </si>
  <si>
    <t>SE23175</t>
  </si>
  <si>
    <t>VD09</t>
  </si>
  <si>
    <t>20260615_094420</t>
  </si>
  <si>
    <t>HS31926</t>
  </si>
  <si>
    <t>L19054</t>
  </si>
  <si>
    <t>VD08</t>
  </si>
  <si>
    <t>20260615_101939</t>
  </si>
  <si>
    <t>HS49338</t>
  </si>
  <si>
    <t>T5346</t>
  </si>
  <si>
    <t>20260615_122402</t>
  </si>
  <si>
    <t>HS45411</t>
  </si>
  <si>
    <t>SF6067</t>
  </si>
  <si>
    <t>20260615_144336</t>
  </si>
  <si>
    <t>20260615_153253</t>
  </si>
  <si>
    <t>HS52350</t>
  </si>
  <si>
    <t>SF7167</t>
  </si>
  <si>
    <t>20260615_165536</t>
  </si>
  <si>
    <t>20260615_191757</t>
  </si>
  <si>
    <t>HS51668</t>
  </si>
  <si>
    <t>L21485</t>
  </si>
  <si>
    <t>20260615_193217</t>
  </si>
  <si>
    <t>HS19869</t>
  </si>
  <si>
    <t>20260615_221137</t>
  </si>
  <si>
    <t>HS49817</t>
  </si>
  <si>
    <t>LR5376</t>
  </si>
  <si>
    <t>20260615_221352</t>
  </si>
  <si>
    <t>20260615_225846</t>
  </si>
  <si>
    <t>LHS50876</t>
  </si>
  <si>
    <t>SE5433</t>
  </si>
  <si>
    <t>VD07</t>
  </si>
  <si>
    <t>20260616_015059</t>
  </si>
  <si>
    <t>HS51579</t>
  </si>
  <si>
    <t>20260616_075013</t>
  </si>
  <si>
    <t>HS51431</t>
  </si>
  <si>
    <t>T5163</t>
  </si>
  <si>
    <t>20260616_091424</t>
  </si>
  <si>
    <t>T7400</t>
  </si>
  <si>
    <t>20260616_092457</t>
  </si>
  <si>
    <t>HS48913</t>
  </si>
  <si>
    <t>T7A937</t>
  </si>
  <si>
    <t>20260616_140838</t>
  </si>
  <si>
    <t>HS48874</t>
  </si>
  <si>
    <t>SE12375</t>
  </si>
  <si>
    <t>20260616_141858</t>
  </si>
  <si>
    <t>HH</t>
  </si>
  <si>
    <t>CL4210</t>
  </si>
  <si>
    <t>20260616_143238</t>
  </si>
  <si>
    <t>LHS46532</t>
  </si>
  <si>
    <t>T7038</t>
  </si>
  <si>
    <t>20260616_165205</t>
  </si>
  <si>
    <t>HS43284</t>
  </si>
  <si>
    <t>L12367</t>
  </si>
  <si>
    <t>20260616_205315</t>
  </si>
  <si>
    <t>HS45281</t>
  </si>
  <si>
    <t>L18027</t>
  </si>
  <si>
    <t>20260616_205611</t>
  </si>
  <si>
    <t>20260616_205742</t>
  </si>
  <si>
    <t>HS43017</t>
  </si>
  <si>
    <t>L21909</t>
  </si>
  <si>
    <t>20260616_215529</t>
  </si>
  <si>
    <t>HS23403</t>
  </si>
  <si>
    <t>CL4047</t>
  </si>
  <si>
    <t>20260616_224055</t>
  </si>
  <si>
    <t>HS38777</t>
  </si>
  <si>
    <t>L22120</t>
  </si>
  <si>
    <t>20260616_224253</t>
  </si>
  <si>
    <t>20260617_000509</t>
  </si>
  <si>
    <t>FHS49387</t>
  </si>
  <si>
    <t>CB5909</t>
  </si>
  <si>
    <t>20260617_005819</t>
  </si>
  <si>
    <t>20260617_012432</t>
  </si>
  <si>
    <t>HS43044</t>
  </si>
  <si>
    <t>CB5869</t>
  </si>
  <si>
    <t>20260617_024126</t>
  </si>
  <si>
    <t>HS44885</t>
  </si>
  <si>
    <t>L20032</t>
  </si>
  <si>
    <t>20260617_050749</t>
  </si>
  <si>
    <t>20260617_090447</t>
  </si>
  <si>
    <t>20260617_102713</t>
  </si>
  <si>
    <t>T6206</t>
  </si>
  <si>
    <t>20260617_115231</t>
  </si>
  <si>
    <t>CB5450</t>
  </si>
  <si>
    <t>20260617_120138</t>
  </si>
  <si>
    <t>20260617_130904</t>
  </si>
  <si>
    <t>LHS49781</t>
  </si>
  <si>
    <t>#LHS@*(&amp;*&gt;(%_!()@(_VD050450-41-BK5002-4950-44-R2128-49.95-35-Y1121-450</t>
  </si>
  <si>
    <t>20260617_134530</t>
  </si>
  <si>
    <t>L11104</t>
  </si>
  <si>
    <t>20260617_135705</t>
  </si>
  <si>
    <t>HS51457</t>
  </si>
  <si>
    <t>CB5034</t>
  </si>
  <si>
    <t>20260617_140239</t>
  </si>
  <si>
    <t>HS39057</t>
  </si>
  <si>
    <t>CT2013</t>
  </si>
  <si>
    <t>20260617_141220</t>
  </si>
  <si>
    <t>HS43598</t>
  </si>
  <si>
    <t>T7270</t>
  </si>
  <si>
    <t>20260617_165334</t>
  </si>
  <si>
    <t>20260617_172813</t>
  </si>
  <si>
    <t>20260617_183945</t>
  </si>
  <si>
    <t>20260617_184225</t>
  </si>
  <si>
    <t>20260617_193030</t>
  </si>
  <si>
    <t>L29059</t>
  </si>
  <si>
    <t>20260617_195031</t>
  </si>
  <si>
    <t>HS39915</t>
  </si>
  <si>
    <t>L11497</t>
  </si>
  <si>
    <t>20260617_201138</t>
  </si>
  <si>
    <t>SE5A405</t>
  </si>
  <si>
    <t>20260617_211939</t>
  </si>
  <si>
    <t>HS24962</t>
  </si>
  <si>
    <t>L31086</t>
  </si>
  <si>
    <t>20260617_223258</t>
  </si>
  <si>
    <t>HS41337</t>
  </si>
  <si>
    <t>T7413</t>
  </si>
  <si>
    <t>20260618_010158</t>
  </si>
  <si>
    <t>20260618_043029</t>
  </si>
  <si>
    <t>20260618_074233</t>
  </si>
  <si>
    <t>HS53894</t>
  </si>
  <si>
    <t>L33639</t>
  </si>
  <si>
    <t>20260618_080142</t>
  </si>
  <si>
    <t>20260618_080636</t>
  </si>
  <si>
    <t>T6415</t>
  </si>
  <si>
    <t>20260618_080747</t>
  </si>
  <si>
    <t>20260618_082344</t>
  </si>
  <si>
    <t>20260618_082739</t>
  </si>
  <si>
    <t>20260618_095306</t>
  </si>
  <si>
    <t>20260618_101444</t>
  </si>
  <si>
    <t>T7A614</t>
  </si>
  <si>
    <t>20260618_101859</t>
  </si>
  <si>
    <t>20260618_111120</t>
  </si>
  <si>
    <t>20260618_115610</t>
  </si>
  <si>
    <t>HS49257</t>
  </si>
  <si>
    <t>L12761</t>
  </si>
  <si>
    <t>20260618_133145</t>
  </si>
  <si>
    <t>HS56106</t>
  </si>
  <si>
    <t>CT5612</t>
  </si>
  <si>
    <t>20260618_142600</t>
  </si>
  <si>
    <t>20260618_143008</t>
  </si>
  <si>
    <t>20260618_150718</t>
  </si>
  <si>
    <t>20260618_171330</t>
  </si>
  <si>
    <t>20260618_193654</t>
  </si>
  <si>
    <t>20260618_211342</t>
  </si>
  <si>
    <t>HS51726</t>
  </si>
  <si>
    <t>T7345</t>
  </si>
  <si>
    <t>20260618_221353</t>
  </si>
  <si>
    <t>20260618_232304</t>
  </si>
  <si>
    <t>HS51442</t>
  </si>
  <si>
    <t>L38079</t>
  </si>
  <si>
    <t>20260619_013627</t>
  </si>
  <si>
    <t>G+61007</t>
  </si>
  <si>
    <t>VD14</t>
  </si>
  <si>
    <t>20260619_020503</t>
  </si>
  <si>
    <t>20260619_020825</t>
  </si>
  <si>
    <t>20260619_074524</t>
  </si>
  <si>
    <t>20260619_091601</t>
  </si>
  <si>
    <t>HS53795</t>
  </si>
  <si>
    <t>CL7752</t>
  </si>
  <si>
    <t>20260619_114030</t>
  </si>
  <si>
    <t>20260619_131708</t>
  </si>
  <si>
    <t>L11836</t>
  </si>
  <si>
    <t>20260619_133331</t>
  </si>
  <si>
    <t>20260619_143645</t>
  </si>
  <si>
    <t>L11471</t>
  </si>
  <si>
    <t>20260619_144213</t>
  </si>
  <si>
    <t>20260619_191726</t>
  </si>
  <si>
    <t>L21115</t>
  </si>
  <si>
    <t>20260619_192121</t>
  </si>
  <si>
    <t>HS40773</t>
  </si>
  <si>
    <t>L12130</t>
  </si>
  <si>
    <t>20260619_193937</t>
  </si>
  <si>
    <t>HS39046</t>
  </si>
  <si>
    <t>20260619_210755</t>
  </si>
  <si>
    <t>HS42209</t>
  </si>
  <si>
    <t>20260619_222027</t>
  </si>
  <si>
    <t>20260619_232534</t>
  </si>
  <si>
    <t>HS51937</t>
  </si>
  <si>
    <t>L23892</t>
  </si>
  <si>
    <t>20260620_024157</t>
  </si>
  <si>
    <t>20260620_025346</t>
  </si>
  <si>
    <t>L12716</t>
  </si>
  <si>
    <t>20260620_045310</t>
  </si>
  <si>
    <t>HS46532</t>
  </si>
  <si>
    <t>20260620_054320</t>
  </si>
  <si>
    <t>HS15544</t>
  </si>
  <si>
    <t>20260620_054531</t>
  </si>
  <si>
    <t>20260620_054637</t>
  </si>
  <si>
    <t>20260620_084708</t>
  </si>
  <si>
    <t>HS31479</t>
  </si>
  <si>
    <t>20260620_094529</t>
  </si>
  <si>
    <t>20260620_103317</t>
  </si>
  <si>
    <t>HS52209</t>
  </si>
  <si>
    <t>T5495</t>
  </si>
  <si>
    <t>20260620_140245</t>
  </si>
  <si>
    <t>HS26556</t>
  </si>
  <si>
    <t>SF6084</t>
  </si>
  <si>
    <t>20260620_142604</t>
  </si>
  <si>
    <t>20260620_143605</t>
  </si>
  <si>
    <t>20260620_144605</t>
  </si>
  <si>
    <t>VD006</t>
  </si>
  <si>
    <t>F</t>
  </si>
  <si>
    <t>#HS52209-T5495</t>
  </si>
  <si>
    <t>20260620_144655</t>
  </si>
  <si>
    <t>T5078</t>
  </si>
  <si>
    <t>20260620_160338</t>
  </si>
  <si>
    <t>20260620_162600</t>
  </si>
  <si>
    <t>20260620_164700</t>
  </si>
  <si>
    <t>20260620_191410</t>
  </si>
  <si>
    <t>T6300</t>
  </si>
  <si>
    <t>20260620_195857</t>
  </si>
  <si>
    <t>20260620_200532</t>
  </si>
  <si>
    <t>HS51250</t>
  </si>
  <si>
    <t>20260620_200827</t>
  </si>
  <si>
    <t>L12038</t>
  </si>
  <si>
    <t>20260620_205553</t>
  </si>
  <si>
    <t>HS44787</t>
  </si>
  <si>
    <t>T5635</t>
  </si>
  <si>
    <t>20260620_212558</t>
  </si>
  <si>
    <t>LR7577</t>
  </si>
  <si>
    <t>20260620_222844</t>
  </si>
  <si>
    <t>HS41540</t>
  </si>
  <si>
    <t>20260620_225453</t>
  </si>
  <si>
    <t>20260620_231205</t>
  </si>
  <si>
    <t>20260621_000655</t>
  </si>
  <si>
    <t>20260621_011326</t>
  </si>
  <si>
    <t>L23264</t>
  </si>
  <si>
    <t>20260621_012647</t>
  </si>
  <si>
    <t>20260621_015443</t>
  </si>
  <si>
    <t>20260621_015902</t>
  </si>
  <si>
    <t>LR7164</t>
  </si>
  <si>
    <t>20260621_024816</t>
  </si>
  <si>
    <t>20260621_032927</t>
  </si>
  <si>
    <t>HS45521</t>
  </si>
  <si>
    <t>T7319</t>
  </si>
  <si>
    <t>20260621_041225</t>
  </si>
  <si>
    <t>20260621_045534</t>
  </si>
  <si>
    <t>20260621_054131</t>
  </si>
  <si>
    <t>20260621_073834</t>
  </si>
  <si>
    <t>20260621_080613</t>
  </si>
  <si>
    <t>20260621_082648</t>
  </si>
  <si>
    <t>20260621_092439</t>
  </si>
  <si>
    <t>20260621_092950</t>
  </si>
  <si>
    <t>20260621_095530</t>
  </si>
  <si>
    <t>20260621_100515</t>
  </si>
  <si>
    <t>20260621_100846</t>
  </si>
  <si>
    <t>LHS47699</t>
  </si>
  <si>
    <t>TS7B459</t>
  </si>
  <si>
    <t>20260621_103337</t>
  </si>
  <si>
    <t>20260621_104528</t>
  </si>
  <si>
    <t>20260621_115623</t>
  </si>
  <si>
    <t>20260621_143514</t>
  </si>
  <si>
    <t>20260621_173415</t>
  </si>
  <si>
    <t>20260621_195252</t>
  </si>
  <si>
    <t>20260621_201156</t>
  </si>
  <si>
    <t>HS37393</t>
  </si>
  <si>
    <t>L11813</t>
  </si>
  <si>
    <t>20260621_212626</t>
  </si>
  <si>
    <t>20260621_213128</t>
  </si>
  <si>
    <t>20260621_224402</t>
  </si>
  <si>
    <t>HS51022</t>
  </si>
  <si>
    <t>T5784</t>
  </si>
  <si>
    <t>20260621_224559</t>
  </si>
  <si>
    <t>L19029</t>
  </si>
  <si>
    <t>20260621_233009</t>
  </si>
  <si>
    <t>20260621_233346</t>
  </si>
  <si>
    <t>20260621_233727</t>
  </si>
  <si>
    <t>20260622_073016</t>
  </si>
  <si>
    <t>20260622_073924</t>
  </si>
  <si>
    <t>HS42857</t>
  </si>
  <si>
    <t>CL3160</t>
  </si>
  <si>
    <t>20260622_074409</t>
  </si>
  <si>
    <t>CT4686</t>
  </si>
  <si>
    <t>20260622_075724</t>
  </si>
  <si>
    <t>20260622_080400</t>
  </si>
  <si>
    <t>20260622_090346</t>
  </si>
  <si>
    <t>20260622_105917</t>
  </si>
  <si>
    <t>20260622_131704</t>
  </si>
  <si>
    <t>20260622_132200</t>
  </si>
  <si>
    <t>HS48371</t>
  </si>
  <si>
    <t>T5143</t>
  </si>
  <si>
    <t>20260622_162858</t>
  </si>
  <si>
    <t>HS49282</t>
  </si>
  <si>
    <t>CL8001</t>
  </si>
  <si>
    <t>20260622_164156</t>
  </si>
  <si>
    <t>HS55797</t>
  </si>
  <si>
    <t>L33912</t>
  </si>
  <si>
    <t>20260622_192143</t>
  </si>
  <si>
    <t>20260622_192450</t>
  </si>
  <si>
    <t>20260622_202936</t>
  </si>
  <si>
    <t>20260622_205425</t>
  </si>
  <si>
    <t>HS48856</t>
  </si>
  <si>
    <t>CL7763</t>
  </si>
  <si>
    <t>20260622_210812</t>
  </si>
  <si>
    <t>20260622_211105</t>
  </si>
  <si>
    <t>20260622_234037</t>
  </si>
  <si>
    <t>20260623_023419</t>
  </si>
  <si>
    <t>T5A143</t>
  </si>
  <si>
    <t>20260623_050600</t>
  </si>
  <si>
    <t>20260623_075007</t>
  </si>
  <si>
    <t>20260623_080109</t>
  </si>
  <si>
    <t>20260623_091548</t>
  </si>
  <si>
    <t>20260623_092615</t>
  </si>
  <si>
    <t>HS52743</t>
  </si>
  <si>
    <t>20260623_100006</t>
  </si>
  <si>
    <t>20260623_110852</t>
  </si>
  <si>
    <t>20260623_112038</t>
  </si>
  <si>
    <t>20260623_125758</t>
  </si>
  <si>
    <t>20260623_133016</t>
  </si>
  <si>
    <t>20260623_135052</t>
  </si>
  <si>
    <t>20260623_135403</t>
  </si>
  <si>
    <t>20260623_140922</t>
  </si>
  <si>
    <t>20260623_141448</t>
  </si>
  <si>
    <t>20260623_144747</t>
  </si>
  <si>
    <t>T7393</t>
  </si>
  <si>
    <t>20260623_170804</t>
  </si>
  <si>
    <t>20260623_181200</t>
  </si>
  <si>
    <t>HS51958</t>
  </si>
  <si>
    <t>20260623_181622</t>
  </si>
  <si>
    <t>20260623_194658</t>
  </si>
  <si>
    <t>HS40102</t>
  </si>
  <si>
    <t>L21892</t>
  </si>
  <si>
    <t>20260623_195249</t>
  </si>
  <si>
    <t>20260623_200356</t>
  </si>
  <si>
    <t>20260623_201931</t>
  </si>
  <si>
    <t>HS41686</t>
  </si>
  <si>
    <t>SF7710</t>
  </si>
  <si>
    <t>20260623_212838</t>
  </si>
  <si>
    <t>20260623_215612</t>
  </si>
  <si>
    <t>20260623_220134</t>
  </si>
  <si>
    <t>20260624_003724</t>
  </si>
  <si>
    <t>20260624_012910</t>
  </si>
  <si>
    <t>20260624_073400</t>
  </si>
  <si>
    <t>S55797</t>
  </si>
  <si>
    <t>20260624_082423</t>
  </si>
  <si>
    <t>MHS00024</t>
  </si>
  <si>
    <t>T0362</t>
  </si>
  <si>
    <t>20260624_082530</t>
  </si>
  <si>
    <t>20260624_090443</t>
  </si>
  <si>
    <t>20260624_090821</t>
  </si>
  <si>
    <t>20260624_105141</t>
  </si>
  <si>
    <t>20260624_105728</t>
  </si>
  <si>
    <t>20260624_111850</t>
  </si>
  <si>
    <t>20260624_112239</t>
  </si>
  <si>
    <t>HS54223</t>
  </si>
  <si>
    <t>CL3007</t>
  </si>
  <si>
    <t>20260624_112617</t>
  </si>
  <si>
    <t>LHH</t>
  </si>
  <si>
    <t>20260624_113503</t>
  </si>
  <si>
    <t>HS56094</t>
  </si>
  <si>
    <t>20260624_115333</t>
  </si>
  <si>
    <t>20260624_120059</t>
  </si>
  <si>
    <t>L12083</t>
  </si>
  <si>
    <t>20260624_120611</t>
  </si>
  <si>
    <t>20260624_124228</t>
  </si>
  <si>
    <t>LHS45604</t>
  </si>
  <si>
    <t>20260624_135736</t>
  </si>
  <si>
    <t>20260624_161312</t>
  </si>
  <si>
    <t>20260624_171636</t>
  </si>
  <si>
    <t>20260624_172141</t>
  </si>
  <si>
    <t>20260624_191441</t>
  </si>
  <si>
    <t>HS24445</t>
  </si>
  <si>
    <t>T7568</t>
  </si>
  <si>
    <t>20260624_193653</t>
  </si>
  <si>
    <t>20260624_204639</t>
  </si>
  <si>
    <t>20260624_222831</t>
  </si>
  <si>
    <t>20260624_230723</t>
  </si>
  <si>
    <t>20260625_014937</t>
  </si>
  <si>
    <t>20260625_042658</t>
  </si>
  <si>
    <t>20260625_045139</t>
  </si>
  <si>
    <t>20260625_074805</t>
  </si>
  <si>
    <t>HS42511</t>
  </si>
  <si>
    <t>20260625_080812</t>
  </si>
  <si>
    <t>20260625_083737</t>
  </si>
  <si>
    <t>20260625_094853</t>
  </si>
  <si>
    <t>20260625_102656</t>
  </si>
  <si>
    <t>20260625_102931</t>
  </si>
  <si>
    <t>20260625_154336</t>
  </si>
  <si>
    <t>20260625_170027</t>
  </si>
  <si>
    <t>HS45928</t>
  </si>
  <si>
    <t>20260625_171222</t>
  </si>
  <si>
    <t>20260625_191701</t>
  </si>
  <si>
    <t>HS16839</t>
  </si>
  <si>
    <t>CB6012</t>
  </si>
  <si>
    <t>20260625_193657</t>
  </si>
  <si>
    <t>HS26601</t>
  </si>
  <si>
    <t>SE5718</t>
  </si>
  <si>
    <t>20260625_200743</t>
  </si>
  <si>
    <t>20260625_215406</t>
  </si>
  <si>
    <t>20260625_224940</t>
  </si>
  <si>
    <t>LR23656</t>
  </si>
  <si>
    <t>20260625_230742</t>
  </si>
  <si>
    <t>20260626_010524</t>
  </si>
  <si>
    <t>20260626_012703</t>
  </si>
  <si>
    <t>20260626_074940</t>
  </si>
  <si>
    <t>20260626_075824</t>
  </si>
  <si>
    <t>20260626_091442</t>
  </si>
  <si>
    <t>20260626_092435</t>
  </si>
  <si>
    <t>20260626_111037</t>
  </si>
  <si>
    <t>20260626_115559</t>
  </si>
  <si>
    <t>20260626_130602</t>
  </si>
  <si>
    <t>20260626_135737</t>
  </si>
  <si>
    <t>20260626_140744</t>
  </si>
  <si>
    <t>20260626_161312</t>
  </si>
  <si>
    <t>HS52156</t>
  </si>
  <si>
    <t>20260626_182951</t>
  </si>
  <si>
    <t>20260626_192413</t>
  </si>
  <si>
    <t>20260626_194255</t>
  </si>
  <si>
    <t>20260626_195030</t>
  </si>
  <si>
    <t>20260626_195454</t>
  </si>
  <si>
    <t>LS12502</t>
  </si>
  <si>
    <t>20260626_200247</t>
  </si>
  <si>
    <t>20260626_211313</t>
  </si>
  <si>
    <t>HS45282</t>
  </si>
  <si>
    <t>20260626_211821</t>
  </si>
  <si>
    <t>T7389</t>
  </si>
  <si>
    <t>20260626_234729</t>
  </si>
  <si>
    <t>20260627_005639</t>
  </si>
  <si>
    <t>20260627_011304</t>
  </si>
  <si>
    <t>20260627_021856</t>
  </si>
  <si>
    <t>20260627_023946</t>
  </si>
  <si>
    <t>20260627_030843</t>
  </si>
  <si>
    <t>20260627_043055</t>
  </si>
  <si>
    <t>HS44399</t>
  </si>
  <si>
    <t>L33902</t>
  </si>
  <si>
    <t>20260627_053216</t>
  </si>
  <si>
    <t>20260627_075745</t>
  </si>
  <si>
    <t>20260627_080653</t>
  </si>
  <si>
    <t>20260627_081434</t>
  </si>
  <si>
    <t>20260627_105942</t>
  </si>
  <si>
    <t>20260627_110326</t>
  </si>
  <si>
    <t>20260627_114646</t>
  </si>
  <si>
    <t>20260627_115122</t>
  </si>
  <si>
    <t>20260627_115232</t>
  </si>
  <si>
    <t>20260627_125933</t>
  </si>
  <si>
    <t>20260627_130334</t>
  </si>
  <si>
    <t>20260627_130430</t>
  </si>
  <si>
    <t>20260627_131747</t>
  </si>
  <si>
    <t>LR5095</t>
  </si>
  <si>
    <t>20260627_132116</t>
  </si>
  <si>
    <t>HS55211</t>
  </si>
  <si>
    <t>20260627_133129</t>
  </si>
  <si>
    <t>20260627_140534</t>
  </si>
  <si>
    <t>20260617_164632</t>
  </si>
  <si>
    <t>CL2141</t>
  </si>
  <si>
    <t>20260617_164820</t>
  </si>
  <si>
    <t>20260627_202336</t>
  </si>
  <si>
    <t>20260627_211919</t>
  </si>
  <si>
    <t>20260617_235856</t>
  </si>
  <si>
    <t>20260618_025932</t>
  </si>
  <si>
    <t>FHS50907</t>
  </si>
  <si>
    <t>CL4882</t>
  </si>
  <si>
    <t>20260628_040438</t>
  </si>
  <si>
    <t>20260618_034501</t>
  </si>
  <si>
    <t>20260628_051037</t>
  </si>
  <si>
    <t>20260618_063126</t>
  </si>
  <si>
    <t>20260618_132221</t>
  </si>
  <si>
    <t>HS30006</t>
  </si>
  <si>
    <t>20260628_181821</t>
  </si>
  <si>
    <t>20260618_185946</t>
  </si>
  <si>
    <t>20260618_194603</t>
  </si>
  <si>
    <t>20260618_200804</t>
  </si>
  <si>
    <t>20260618_204825</t>
  </si>
  <si>
    <t>20260628_220040</t>
  </si>
  <si>
    <t>HS49275</t>
  </si>
  <si>
    <t>CL8446</t>
  </si>
  <si>
    <t>20260618_214128</t>
  </si>
  <si>
    <t>LHS44399</t>
  </si>
  <si>
    <t>LR12494</t>
  </si>
  <si>
    <t>20260618_214332</t>
  </si>
  <si>
    <t>20260618_215104</t>
  </si>
  <si>
    <t>20260618_220932</t>
  </si>
  <si>
    <t>20260618_224552</t>
  </si>
  <si>
    <t>20260618_224826</t>
  </si>
  <si>
    <t>20260619_001726</t>
  </si>
  <si>
    <t>20260619_010337</t>
  </si>
  <si>
    <t>20260619_030913</t>
  </si>
  <si>
    <t>HS48413</t>
  </si>
  <si>
    <t>20260619_031326</t>
  </si>
  <si>
    <t>20260619_064158</t>
  </si>
  <si>
    <t>HS49607</t>
  </si>
  <si>
    <t>20260619_065009</t>
  </si>
  <si>
    <t>20260619_071425</t>
  </si>
  <si>
    <t>CL8593</t>
  </si>
  <si>
    <t>20260619_081224</t>
  </si>
  <si>
    <t>20260619_085700</t>
  </si>
  <si>
    <t>20260619_104130</t>
  </si>
  <si>
    <t>20260629_114951</t>
  </si>
  <si>
    <t>20260619_122937</t>
  </si>
  <si>
    <t>20260619_124108</t>
  </si>
  <si>
    <t>20260619_124647</t>
  </si>
  <si>
    <t>20260619_130315</t>
  </si>
  <si>
    <t>HS47686</t>
  </si>
  <si>
    <t>20260619_135001</t>
  </si>
  <si>
    <t>20260619_135514</t>
  </si>
  <si>
    <t>20260619_153705</t>
  </si>
  <si>
    <t>20260619_155818</t>
  </si>
  <si>
    <t>20260619_171637</t>
  </si>
  <si>
    <t>20260619_192730</t>
  </si>
  <si>
    <t>L29009</t>
  </si>
  <si>
    <t>20260619_210513</t>
  </si>
  <si>
    <t>20260619_220102</t>
  </si>
  <si>
    <t>20260619_222344</t>
  </si>
  <si>
    <t>20260619_223811</t>
  </si>
  <si>
    <t>20260629_235005</t>
  </si>
  <si>
    <t>20260620_001041</t>
  </si>
  <si>
    <t>20260620_001425</t>
  </si>
  <si>
    <t>20260620_010517</t>
  </si>
  <si>
    <t>20260630_020945</t>
  </si>
  <si>
    <t>20260620_012211</t>
  </si>
  <si>
    <t>20260630_023146</t>
  </si>
  <si>
    <t>20260630_023356</t>
  </si>
  <si>
    <t>20260620_021651</t>
  </si>
  <si>
    <t>20260620_032700</t>
  </si>
  <si>
    <t>HS45410</t>
  </si>
  <si>
    <t>20260620_045539</t>
  </si>
  <si>
    <t>20260620_183206</t>
  </si>
  <si>
    <t>20260620_183614</t>
  </si>
  <si>
    <t>20260620_184904</t>
  </si>
  <si>
    <t>20260620_204246</t>
  </si>
  <si>
    <t>20260620_210140</t>
  </si>
  <si>
    <t>HS43028</t>
  </si>
  <si>
    <t>20260620_212154</t>
  </si>
  <si>
    <t>20260620_220858</t>
  </si>
  <si>
    <t>20260620_221705</t>
  </si>
  <si>
    <t>20260620_222313</t>
  </si>
  <si>
    <t>20260620_222926</t>
  </si>
  <si>
    <t>20260621_003746</t>
  </si>
  <si>
    <t>20260621_021015</t>
  </si>
  <si>
    <t>20260621_063237</t>
  </si>
  <si>
    <t>L38069</t>
  </si>
  <si>
    <t>20260621_063843</t>
  </si>
  <si>
    <t>HS51046</t>
  </si>
  <si>
    <t>20260621_064818</t>
  </si>
  <si>
    <t>20260621_081037</t>
  </si>
  <si>
    <t>20260621_083300</t>
  </si>
  <si>
    <t>20260621_084328</t>
  </si>
  <si>
    <t>20260621_091130</t>
  </si>
  <si>
    <t>HS55681</t>
  </si>
  <si>
    <t>L12518</t>
  </si>
  <si>
    <t>20260621_092318</t>
  </si>
  <si>
    <t>20260621_092616</t>
  </si>
  <si>
    <t>HS49193</t>
  </si>
  <si>
    <t>20260621_095922</t>
  </si>
  <si>
    <t>20260621_105158</t>
  </si>
  <si>
    <t>20260621_105434</t>
  </si>
  <si>
    <t>20260621_122136</t>
  </si>
  <si>
    <t>20260701_131715</t>
  </si>
  <si>
    <t>20260621_132840</t>
  </si>
  <si>
    <t>LHS32568</t>
  </si>
  <si>
    <t>20260621_143056</t>
  </si>
  <si>
    <t>20260621_144732</t>
  </si>
  <si>
    <t>20260621_152116</t>
  </si>
  <si>
    <t>HS46680</t>
  </si>
  <si>
    <t>20260621_165008</t>
  </si>
  <si>
    <t>20260621_190055</t>
  </si>
  <si>
    <t>#HS45410-L19029-VD06-100-41-BK5002-800-35-Y1121-320-16-G4024A-110</t>
  </si>
  <si>
    <t>20260621_193400</t>
  </si>
  <si>
    <t>20260621_193832</t>
  </si>
  <si>
    <t>20260621_200547</t>
  </si>
  <si>
    <t>20260621_203457</t>
  </si>
  <si>
    <t>20260621_211706</t>
  </si>
  <si>
    <t>20260621_212124</t>
  </si>
  <si>
    <t>D+63557</t>
  </si>
  <si>
    <t>L21541</t>
  </si>
  <si>
    <t>VD15</t>
  </si>
  <si>
    <t>20260622_003631</t>
  </si>
  <si>
    <t>20260622_014855</t>
  </si>
  <si>
    <t>20260622_024200</t>
  </si>
  <si>
    <t>20260622_025114</t>
  </si>
  <si>
    <t>HS27878</t>
  </si>
  <si>
    <t>20260622_025554</t>
  </si>
  <si>
    <t>HS52618</t>
  </si>
  <si>
    <t>SE5B095</t>
  </si>
  <si>
    <t>20260622_050343</t>
  </si>
  <si>
    <t>20260622_062747</t>
  </si>
  <si>
    <t>20260702_072541</t>
  </si>
  <si>
    <t>20260622_063605</t>
  </si>
  <si>
    <t>20260622_065715</t>
  </si>
  <si>
    <t>L32442</t>
  </si>
  <si>
    <t>20260622_072820</t>
  </si>
  <si>
    <t>20260622_083419</t>
  </si>
  <si>
    <t>20260702_110726</t>
  </si>
  <si>
    <t>HS47858</t>
  </si>
  <si>
    <t>CL1083</t>
  </si>
  <si>
    <t>20260622_102046</t>
  </si>
  <si>
    <t>20260622_123632</t>
  </si>
  <si>
    <t>CL4876</t>
  </si>
  <si>
    <t>20260622_132845</t>
  </si>
  <si>
    <t>20260622_144257</t>
  </si>
  <si>
    <t>20260622_153404</t>
  </si>
  <si>
    <t>HS43775</t>
  </si>
  <si>
    <t>20260622_184805</t>
  </si>
  <si>
    <t>20260622_201923</t>
  </si>
  <si>
    <t>20260622_205459</t>
  </si>
  <si>
    <t>20260622_205956</t>
  </si>
  <si>
    <t>20260622_223948</t>
  </si>
  <si>
    <t>20260622_224251</t>
  </si>
  <si>
    <t>20260622_225623</t>
  </si>
  <si>
    <t>20260622_235559</t>
  </si>
  <si>
    <t>20260623_000302</t>
  </si>
  <si>
    <t>20260623_014703</t>
  </si>
  <si>
    <t>20260623_034028</t>
  </si>
  <si>
    <t>20260623_034935</t>
  </si>
  <si>
    <t>HS53760</t>
  </si>
  <si>
    <t>T7B838</t>
  </si>
  <si>
    <t>20260623_063005</t>
  </si>
  <si>
    <t>20260623_063546</t>
  </si>
  <si>
    <t>20260623_102936</t>
  </si>
  <si>
    <t>20260623_125714</t>
  </si>
  <si>
    <t>20260623_132256</t>
  </si>
  <si>
    <t>20260623_152756</t>
  </si>
  <si>
    <t>20260623_164538</t>
  </si>
  <si>
    <t>20260623_183714</t>
  </si>
  <si>
    <t>20260623_184722</t>
  </si>
  <si>
    <t>20260623_185132</t>
  </si>
  <si>
    <t>20260623_193005</t>
  </si>
  <si>
    <t>20260623_210243</t>
  </si>
  <si>
    <t>20260624_004448</t>
  </si>
  <si>
    <t>20260624_025802</t>
  </si>
  <si>
    <t>20260624_031140</t>
  </si>
  <si>
    <t>20260624_041742</t>
  </si>
  <si>
    <t>20260624_062836</t>
  </si>
  <si>
    <t>20260624_065028</t>
  </si>
  <si>
    <t>20260624_070630</t>
  </si>
  <si>
    <t>L30049</t>
  </si>
  <si>
    <t>20260704_105414</t>
  </si>
  <si>
    <t>20260624_102201</t>
  </si>
  <si>
    <t>20260624_105132</t>
  </si>
  <si>
    <t>20260624_113650</t>
  </si>
  <si>
    <t>20260624_124141</t>
  </si>
  <si>
    <t>20260624_143245</t>
  </si>
  <si>
    <t>HS48519</t>
  </si>
  <si>
    <t>L11040</t>
  </si>
  <si>
    <t>20260624_152134</t>
  </si>
  <si>
    <t>20260624_160335</t>
  </si>
  <si>
    <t>HS32568</t>
  </si>
  <si>
    <t>20260624_170831</t>
  </si>
  <si>
    <t>20260624_191324</t>
  </si>
  <si>
    <t>S32568</t>
  </si>
  <si>
    <t>20260624_195335</t>
  </si>
  <si>
    <t>HS45830</t>
  </si>
  <si>
    <t>20260624_201440</t>
  </si>
  <si>
    <t>20260624_201935</t>
  </si>
  <si>
    <t>20260625_025132</t>
  </si>
  <si>
    <t>20260625_025730</t>
  </si>
  <si>
    <t>20260625_032309</t>
  </si>
  <si>
    <t>20260625_033346</t>
  </si>
  <si>
    <t>CL8445</t>
  </si>
  <si>
    <t>20260625_040906</t>
  </si>
  <si>
    <t>20260625_051536</t>
  </si>
  <si>
    <t>20260625_052444</t>
  </si>
  <si>
    <t>20260625_085810</t>
  </si>
  <si>
    <t>20260625_101436</t>
  </si>
  <si>
    <t>20260625_110108</t>
  </si>
  <si>
    <t>20260625_123352</t>
  </si>
  <si>
    <t>HS49749</t>
  </si>
  <si>
    <t>20260625_125446</t>
  </si>
  <si>
    <t>20260625_142039</t>
  </si>
  <si>
    <t>20260625_211438</t>
  </si>
  <si>
    <t>20260626_021519</t>
  </si>
  <si>
    <t>20260626_034306</t>
  </si>
  <si>
    <t>20260626_042431</t>
  </si>
  <si>
    <t>T7150</t>
  </si>
  <si>
    <t>20260626_051302</t>
  </si>
  <si>
    <t>SE5437</t>
  </si>
  <si>
    <t>20260626_081555</t>
  </si>
  <si>
    <t>20260626_085416</t>
  </si>
  <si>
    <t>20260706_102643</t>
  </si>
  <si>
    <t>20260626_102410</t>
  </si>
  <si>
    <t>20260706_135230</t>
  </si>
  <si>
    <t>20260626_130221</t>
  </si>
  <si>
    <t>20260626_130902</t>
  </si>
  <si>
    <t>20260626_131548</t>
  </si>
  <si>
    <t>20260626_133520</t>
  </si>
  <si>
    <t>20260626_133801</t>
  </si>
  <si>
    <t>20260626_134608</t>
  </si>
  <si>
    <t>20260626_153801</t>
  </si>
  <si>
    <t>S49282</t>
  </si>
  <si>
    <t>20260626_161225</t>
  </si>
  <si>
    <t>20260626_161724</t>
  </si>
  <si>
    <t>20260626_182238</t>
  </si>
  <si>
    <t>20260706_204706</t>
  </si>
  <si>
    <t>20260627_025346</t>
  </si>
  <si>
    <t>20260627_052224</t>
  </si>
  <si>
    <t>L12676</t>
  </si>
  <si>
    <t>20260627_063649</t>
  </si>
  <si>
    <t>T5147</t>
  </si>
  <si>
    <t>20260627_072052</t>
  </si>
  <si>
    <t>20260627_082904</t>
  </si>
  <si>
    <t>20260627_092333</t>
  </si>
  <si>
    <t>20260627_092743</t>
  </si>
  <si>
    <t>20260627_094207</t>
  </si>
  <si>
    <t>20260627_122502</t>
  </si>
  <si>
    <t>20260627_130615</t>
  </si>
  <si>
    <t>20260627_133948</t>
  </si>
  <si>
    <t>20260627_145115</t>
  </si>
  <si>
    <t>20260627_150436</t>
  </si>
  <si>
    <t>20260627_155334</t>
  </si>
  <si>
    <t>20260627_164540</t>
  </si>
  <si>
    <t>20260627_165025</t>
  </si>
  <si>
    <t>20260627_190430</t>
  </si>
  <si>
    <t>20260627_202045</t>
  </si>
  <si>
    <t>20260627_202650</t>
  </si>
  <si>
    <t>20260627_211800</t>
  </si>
  <si>
    <t>20260627_221251</t>
  </si>
  <si>
    <t>20260627_221640</t>
  </si>
  <si>
    <t>20260627_225435</t>
  </si>
  <si>
    <t>20260628_001604</t>
  </si>
  <si>
    <t>20260628_005228</t>
  </si>
  <si>
    <t>20260628_022156</t>
  </si>
  <si>
    <t>20260628_023840</t>
  </si>
  <si>
    <t>20260628_064534</t>
  </si>
  <si>
    <t>20260628_073150</t>
  </si>
  <si>
    <t>20260628_085150</t>
  </si>
  <si>
    <t>20260628_085658</t>
  </si>
  <si>
    <t>20260628_092709</t>
  </si>
  <si>
    <t>20260628_100800</t>
  </si>
  <si>
    <t>L12190</t>
  </si>
  <si>
    <t>20260628_122254</t>
  </si>
  <si>
    <t>HS53259</t>
  </si>
  <si>
    <t>20260628_122455</t>
  </si>
  <si>
    <t>20260628_124047</t>
  </si>
  <si>
    <t>20260628_132038</t>
  </si>
  <si>
    <t>20260628_133925</t>
  </si>
  <si>
    <t>HS43016</t>
  </si>
  <si>
    <t>SE24036</t>
  </si>
  <si>
    <t>20260628_134734</t>
  </si>
  <si>
    <t>20260628_135136</t>
  </si>
  <si>
    <t>20260628_144442</t>
  </si>
  <si>
    <t>20260628_182543</t>
  </si>
  <si>
    <t>HS47595</t>
  </si>
  <si>
    <t>CL4772</t>
  </si>
  <si>
    <t>20260628_184858</t>
  </si>
  <si>
    <t>20260628_185346</t>
  </si>
  <si>
    <t>20260628_190753</t>
  </si>
  <si>
    <t>20260628_194421</t>
  </si>
  <si>
    <t>20260628_195057</t>
  </si>
  <si>
    <t>20260628_200223</t>
  </si>
  <si>
    <t>20260628_203149</t>
  </si>
  <si>
    <t>LR7039</t>
  </si>
  <si>
    <t>20260629_002233</t>
  </si>
  <si>
    <t>20260629_004255</t>
  </si>
  <si>
    <t>20260709_023909</t>
  </si>
  <si>
    <t>20260629_044758</t>
  </si>
  <si>
    <t>20260629_062325</t>
  </si>
  <si>
    <t>20260629_064029</t>
  </si>
  <si>
    <t>20260629_072202</t>
  </si>
  <si>
    <t>20260629_072432</t>
  </si>
  <si>
    <t>20260629_072630</t>
  </si>
  <si>
    <t>20260709_102628</t>
  </si>
  <si>
    <t>20260629_093614</t>
  </si>
  <si>
    <t>20260629_103717</t>
  </si>
  <si>
    <t>20260629_120233</t>
  </si>
  <si>
    <t>20260629_140104</t>
  </si>
  <si>
    <t>T7B445</t>
  </si>
  <si>
    <t>20260629_182330</t>
  </si>
  <si>
    <t>20260629_184158</t>
  </si>
  <si>
    <t>20260629_184633</t>
  </si>
  <si>
    <t>20260629_185525</t>
  </si>
  <si>
    <t>20260629_192354</t>
  </si>
  <si>
    <t>20260617_163244</t>
  </si>
  <si>
    <t>20260710_034659</t>
  </si>
  <si>
    <t>20260618_010430</t>
  </si>
  <si>
    <t>HS41733</t>
  </si>
  <si>
    <t>L11683</t>
  </si>
  <si>
    <t>20260618_013811</t>
  </si>
  <si>
    <t>20260618_051656</t>
  </si>
  <si>
    <t>20260618_052429</t>
  </si>
  <si>
    <t>HS45500</t>
  </si>
  <si>
    <t>20260618_053350</t>
  </si>
  <si>
    <t>20260618_065917</t>
  </si>
  <si>
    <t>20260618_071206</t>
  </si>
  <si>
    <t>20260618_091730</t>
  </si>
  <si>
    <t>20260618_120020</t>
  </si>
  <si>
    <t>20260618_123514</t>
  </si>
  <si>
    <t>20260618_131425</t>
  </si>
  <si>
    <t>20260618_133253</t>
  </si>
  <si>
    <t>20260618_133442</t>
  </si>
  <si>
    <t>20260618_163030</t>
  </si>
  <si>
    <t>LR10013</t>
  </si>
  <si>
    <t>20260618_171111</t>
  </si>
  <si>
    <t>20260618_174246</t>
  </si>
  <si>
    <t>20260618_175321</t>
  </si>
  <si>
    <t>20260618_182301</t>
  </si>
  <si>
    <t>20260618_202020</t>
  </si>
  <si>
    <t>20260618_210013</t>
  </si>
  <si>
    <t>20260618_235319</t>
  </si>
  <si>
    <t>20260619_014806</t>
  </si>
  <si>
    <t>20260619_022905</t>
  </si>
  <si>
    <t>20260619_030734</t>
  </si>
  <si>
    <t>20260619_033539</t>
  </si>
  <si>
    <t>HS46191</t>
  </si>
  <si>
    <t>20260619_053157</t>
  </si>
  <si>
    <t>20260619_063012</t>
  </si>
  <si>
    <t>20260619_064735</t>
  </si>
  <si>
    <t>20260619_071758</t>
  </si>
  <si>
    <t>20260619_075311</t>
  </si>
  <si>
    <t>20260619_100816</t>
  </si>
  <si>
    <t>HS40073</t>
  </si>
  <si>
    <t>L21340</t>
  </si>
  <si>
    <t>20260619_123054</t>
  </si>
  <si>
    <t>20260619_151051</t>
  </si>
  <si>
    <t>vd06</t>
  </si>
  <si>
    <t>20260619_172820</t>
  </si>
  <si>
    <t>20260619_235441</t>
  </si>
  <si>
    <t>20260620_000805</t>
  </si>
  <si>
    <t>20260620_003336</t>
  </si>
  <si>
    <t>T5A169</t>
  </si>
  <si>
    <t>20260620_030018</t>
  </si>
  <si>
    <t>20260620_031858</t>
  </si>
  <si>
    <t>20260620_035510</t>
  </si>
  <si>
    <t>20260620_041334</t>
  </si>
  <si>
    <t>20260620_041840</t>
  </si>
  <si>
    <t>20260620_053836</t>
  </si>
  <si>
    <t>20260620_054856</t>
  </si>
  <si>
    <t>20260620_062204</t>
  </si>
  <si>
    <t>CB5075</t>
  </si>
  <si>
    <t>20260620_080247</t>
  </si>
  <si>
    <t>HS54289</t>
  </si>
  <si>
    <t>20260620_084539</t>
  </si>
  <si>
    <t>HS42497</t>
  </si>
  <si>
    <t>SE5A089</t>
  </si>
  <si>
    <t>20260620_120052</t>
  </si>
  <si>
    <t>20260620_120718</t>
  </si>
  <si>
    <t>HS53308</t>
  </si>
  <si>
    <t>20260620_121421</t>
  </si>
  <si>
    <t>20260620_134057</t>
  </si>
  <si>
    <t>20260620_135850</t>
  </si>
  <si>
    <t>20260620_141428</t>
  </si>
  <si>
    <t>20260620_173326</t>
  </si>
  <si>
    <t>20260620_201202</t>
  </si>
  <si>
    <t>20260620_234932</t>
  </si>
  <si>
    <t>HS53467</t>
  </si>
  <si>
    <t>SF5415</t>
  </si>
  <si>
    <t>20260621_011438</t>
  </si>
  <si>
    <t>20260621_011915</t>
  </si>
  <si>
    <t>20260621_032242</t>
  </si>
  <si>
    <t>20260621_032804</t>
  </si>
  <si>
    <t>20260621_054149</t>
  </si>
  <si>
    <t>20260621_054335</t>
  </si>
  <si>
    <t>20260621_065810</t>
  </si>
  <si>
    <t>20260618_012500</t>
  </si>
  <si>
    <t>20260618_022629</t>
  </si>
  <si>
    <t>20260618_052310</t>
  </si>
  <si>
    <t>20260618_053434</t>
  </si>
  <si>
    <t>20260618_081449</t>
  </si>
  <si>
    <t>20260618_083212</t>
  </si>
  <si>
    <t>20260714_082707</t>
  </si>
  <si>
    <t>20260618_144841</t>
  </si>
  <si>
    <t>20260618_145138</t>
  </si>
  <si>
    <t>20260618_151730</t>
  </si>
  <si>
    <t>20260618_171745</t>
  </si>
  <si>
    <t>20260618_174839</t>
  </si>
  <si>
    <t>20260714_135948</t>
  </si>
  <si>
    <t>TS5A877</t>
  </si>
  <si>
    <t>20260618_184817</t>
  </si>
  <si>
    <t>20260618_233232</t>
  </si>
  <si>
    <t>20260618_233616</t>
  </si>
  <si>
    <t>20260619_013418</t>
  </si>
  <si>
    <t>20260619_065442</t>
  </si>
  <si>
    <t>20260619_073204</t>
  </si>
  <si>
    <t>20260619_085126</t>
  </si>
  <si>
    <t>20260619_094011</t>
  </si>
  <si>
    <t>20260619_114445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</si>
</sst>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5" borderId="0" xfId="0" applyFill="1"/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9" fontId="4" fillId="0" borderId="5" xfId="0" applyNumberFormat="1" applyFont="1" applyBorder="1" applyAlignment="1">
      <alignment horizontal="center" vertical="center"/>
    </xf>
    <xf numFmtId="0" fontId="3" fillId="0" borderId="4" xfId="0" quotePrefix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5" borderId="1" xfId="0" applyNumberFormat="1" applyFill="1" applyBorder="1"/>
    <xf numFmtId="0" fontId="5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3" fontId="6" fillId="0" borderId="0" xfId="0" applyNumberFormat="1" applyFont="1" applyAlignment="1">
      <alignment horizontal="right"/>
    </xf>
    <xf numFmtId="3" fontId="6" fillId="0" borderId="0" xfId="0" applyNumberFormat="1" applyFont="1"/>
    <xf numFmtId="3" fontId="0" fillId="0" borderId="1" xfId="0" applyNumberFormat="1" applyBorder="1"/>
    <xf numFmtId="3" fontId="6" fillId="0" borderId="1" xfId="0" applyNumberFormat="1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19050</xdr:rowOff>
        </xdr:from>
        <xdr:to>
          <xdr:col>15</xdr:col>
          <xdr:colOff>1009650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2</xdr:row>
          <xdr:rowOff>0</xdr:rowOff>
        </xdr:from>
        <xdr:to>
          <xdr:col>11</xdr:col>
          <xdr:colOff>466725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2</xdr:row>
          <xdr:rowOff>0</xdr:rowOff>
        </xdr:from>
        <xdr:to>
          <xdr:col>11</xdr:col>
          <xdr:colOff>466725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545"/>
  <sheetViews>
    <sheetView tabSelected="1" workbookViewId="0">
      <pane ySplit="1" topLeftCell="A839" activePane="bottomLeft" state="frozen"/>
      <selection pane="bottomLeft" activeCell="I765" sqref="I765:I768"/>
    </sheetView>
  </sheetViews>
  <sheetFormatPr defaultRowHeight="15" x14ac:dyDescent="0.25"/>
  <cols>
    <col min="2" max="2" width="19.5703125" customWidth="1"/>
    <col min="4" max="4" width="17.28515625" customWidth="1"/>
    <col min="11" max="11" width="21.42578125" customWidth="1"/>
    <col min="12" max="12" width="16.28515625" customWidth="1"/>
    <col min="13" max="13" width="17.7109375" customWidth="1"/>
    <col min="14" max="14" width="15.85546875" customWidth="1"/>
    <col min="15" max="15" width="15.5703125" customWidth="1"/>
    <col min="16" max="16" width="15.42578125" customWidth="1"/>
  </cols>
  <sheetData>
    <row r="1" spans="1:15" ht="34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243</v>
      </c>
      <c r="N1" t="s">
        <v>244</v>
      </c>
      <c r="O1" t="s">
        <v>20</v>
      </c>
    </row>
    <row r="2" spans="1:15" x14ac:dyDescent="0.25">
      <c r="A2">
        <v>1781488367</v>
      </c>
      <c r="B2" t="s">
        <v>333</v>
      </c>
      <c r="C2" t="s">
        <v>334</v>
      </c>
      <c r="D2" t="s">
        <v>335</v>
      </c>
      <c r="E2" t="s">
        <v>336</v>
      </c>
      <c r="F2">
        <v>50</v>
      </c>
      <c r="K2" s="1">
        <v>46188.369988425926</v>
      </c>
      <c r="M2" t="b">
        <v>0</v>
      </c>
      <c r="O2" s="1">
        <v>46188.369988425926</v>
      </c>
    </row>
    <row r="3" spans="1:15" x14ac:dyDescent="0.25">
      <c r="A3">
        <v>-2033863164</v>
      </c>
      <c r="B3" t="s">
        <v>333</v>
      </c>
      <c r="G3">
        <v>41</v>
      </c>
      <c r="H3" t="s">
        <v>29</v>
      </c>
      <c r="I3">
        <v>450</v>
      </c>
      <c r="J3">
        <v>447.2</v>
      </c>
      <c r="L3" t="s">
        <v>12</v>
      </c>
      <c r="M3" t="b">
        <v>0</v>
      </c>
      <c r="O3" s="1">
        <v>46188.369988425926</v>
      </c>
    </row>
    <row r="4" spans="1:15" x14ac:dyDescent="0.25">
      <c r="A4">
        <v>-1085761867</v>
      </c>
      <c r="B4" t="s">
        <v>333</v>
      </c>
      <c r="G4">
        <v>58</v>
      </c>
      <c r="H4" t="s">
        <v>32</v>
      </c>
      <c r="I4">
        <v>650</v>
      </c>
      <c r="J4">
        <v>648.6</v>
      </c>
      <c r="L4" t="s">
        <v>12</v>
      </c>
      <c r="M4" t="b">
        <v>0</v>
      </c>
      <c r="O4" s="1">
        <v>46188.369988425926</v>
      </c>
    </row>
    <row r="5" spans="1:15" x14ac:dyDescent="0.25">
      <c r="A5">
        <v>-1150739502</v>
      </c>
      <c r="B5" t="s">
        <v>333</v>
      </c>
      <c r="G5">
        <v>35</v>
      </c>
      <c r="H5" t="s">
        <v>36</v>
      </c>
      <c r="I5">
        <v>100</v>
      </c>
      <c r="J5">
        <v>99.1</v>
      </c>
      <c r="L5" t="s">
        <v>12</v>
      </c>
      <c r="M5" t="b">
        <v>0</v>
      </c>
      <c r="O5" s="1">
        <v>46188.369988425926</v>
      </c>
    </row>
    <row r="6" spans="1:15" x14ac:dyDescent="0.25">
      <c r="A6">
        <v>-1158115349</v>
      </c>
      <c r="B6" t="s">
        <v>333</v>
      </c>
      <c r="G6">
        <v>57</v>
      </c>
      <c r="H6" t="s">
        <v>17</v>
      </c>
      <c r="I6">
        <v>50</v>
      </c>
      <c r="J6">
        <v>50.2</v>
      </c>
      <c r="L6" t="s">
        <v>12</v>
      </c>
      <c r="M6" t="b">
        <v>0</v>
      </c>
      <c r="O6" s="1">
        <v>46188.369988425926</v>
      </c>
    </row>
    <row r="7" spans="1:15" x14ac:dyDescent="0.25">
      <c r="A7">
        <v>1781491461</v>
      </c>
      <c r="B7" t="s">
        <v>337</v>
      </c>
      <c r="C7" t="s">
        <v>338</v>
      </c>
      <c r="D7" t="s">
        <v>339</v>
      </c>
      <c r="E7" t="s">
        <v>340</v>
      </c>
      <c r="F7">
        <v>250</v>
      </c>
      <c r="K7" s="1">
        <v>46188.405787037038</v>
      </c>
      <c r="M7" t="b">
        <v>0</v>
      </c>
      <c r="O7" s="1">
        <v>46188.405787037038</v>
      </c>
    </row>
    <row r="8" spans="1:15" x14ac:dyDescent="0.25">
      <c r="A8">
        <v>-1457284638</v>
      </c>
      <c r="B8" t="s">
        <v>337</v>
      </c>
      <c r="G8">
        <v>41</v>
      </c>
      <c r="H8" t="s">
        <v>29</v>
      </c>
      <c r="I8">
        <v>1625</v>
      </c>
      <c r="J8">
        <v>1619</v>
      </c>
      <c r="L8" t="s">
        <v>12</v>
      </c>
      <c r="M8" t="b">
        <v>0</v>
      </c>
      <c r="O8" s="1">
        <v>46188.405787037038</v>
      </c>
    </row>
    <row r="9" spans="1:15" x14ac:dyDescent="0.25">
      <c r="A9">
        <v>1174608059</v>
      </c>
      <c r="B9" t="s">
        <v>337</v>
      </c>
      <c r="G9">
        <v>68</v>
      </c>
      <c r="H9" t="s">
        <v>14</v>
      </c>
      <c r="I9">
        <v>137.5</v>
      </c>
      <c r="J9">
        <v>138.30000000000001</v>
      </c>
      <c r="L9" t="s">
        <v>12</v>
      </c>
      <c r="M9" t="b">
        <v>0</v>
      </c>
      <c r="O9" s="1">
        <v>46188.405787037038</v>
      </c>
    </row>
    <row r="10" spans="1:15" x14ac:dyDescent="0.25">
      <c r="A10">
        <v>-561816864</v>
      </c>
      <c r="B10" t="s">
        <v>337</v>
      </c>
      <c r="G10">
        <v>11</v>
      </c>
      <c r="H10" t="s">
        <v>33</v>
      </c>
      <c r="I10">
        <v>65</v>
      </c>
      <c r="J10">
        <v>63.7</v>
      </c>
      <c r="L10" t="s">
        <v>15</v>
      </c>
      <c r="M10" t="b">
        <v>0</v>
      </c>
      <c r="O10" s="1">
        <v>46188.405787037038</v>
      </c>
    </row>
    <row r="11" spans="1:15" x14ac:dyDescent="0.25">
      <c r="A11">
        <v>1781493580</v>
      </c>
      <c r="B11" t="s">
        <v>341</v>
      </c>
      <c r="C11" t="s">
        <v>342</v>
      </c>
      <c r="D11" t="s">
        <v>343</v>
      </c>
      <c r="E11" t="s">
        <v>336</v>
      </c>
      <c r="F11">
        <v>50</v>
      </c>
      <c r="K11" s="1">
        <v>46188.430312500001</v>
      </c>
      <c r="M11" t="b">
        <v>0</v>
      </c>
      <c r="O11" s="1">
        <v>46188.430312500001</v>
      </c>
    </row>
    <row r="12" spans="1:15" x14ac:dyDescent="0.25">
      <c r="A12">
        <v>-1621829539</v>
      </c>
      <c r="B12" t="s">
        <v>341</v>
      </c>
      <c r="G12">
        <v>41</v>
      </c>
      <c r="H12" t="s">
        <v>29</v>
      </c>
      <c r="I12">
        <v>700</v>
      </c>
      <c r="J12">
        <v>701.4</v>
      </c>
      <c r="L12" t="s">
        <v>12</v>
      </c>
      <c r="M12" t="b">
        <v>0</v>
      </c>
      <c r="O12" s="1">
        <v>46188.430312500001</v>
      </c>
    </row>
    <row r="13" spans="1:15" x14ac:dyDescent="0.25">
      <c r="A13">
        <v>1116575322</v>
      </c>
      <c r="B13" t="s">
        <v>341</v>
      </c>
      <c r="G13">
        <v>35</v>
      </c>
      <c r="H13" t="s">
        <v>36</v>
      </c>
      <c r="I13">
        <v>125</v>
      </c>
      <c r="J13">
        <v>125.9</v>
      </c>
      <c r="L13" t="s">
        <v>12</v>
      </c>
      <c r="M13" t="b">
        <v>0</v>
      </c>
      <c r="O13" s="1">
        <v>46188.430312500001</v>
      </c>
    </row>
    <row r="14" spans="1:15" x14ac:dyDescent="0.25">
      <c r="A14">
        <v>1014516179</v>
      </c>
      <c r="B14" t="s">
        <v>341</v>
      </c>
      <c r="G14">
        <v>44</v>
      </c>
      <c r="H14" t="s">
        <v>16</v>
      </c>
      <c r="I14">
        <v>32</v>
      </c>
      <c r="J14">
        <v>31.6</v>
      </c>
      <c r="L14" t="s">
        <v>15</v>
      </c>
      <c r="M14" t="b">
        <v>0</v>
      </c>
      <c r="O14" s="1">
        <v>46188.430312500001</v>
      </c>
    </row>
    <row r="15" spans="1:15" x14ac:dyDescent="0.25">
      <c r="A15">
        <v>1781501042</v>
      </c>
      <c r="B15" t="s">
        <v>344</v>
      </c>
      <c r="C15" t="s">
        <v>345</v>
      </c>
      <c r="D15" t="s">
        <v>346</v>
      </c>
      <c r="E15" t="s">
        <v>340</v>
      </c>
      <c r="F15">
        <v>450</v>
      </c>
      <c r="K15" s="1">
        <v>46188.516689814816</v>
      </c>
      <c r="M15" t="b">
        <v>0</v>
      </c>
      <c r="O15" s="1">
        <v>46188.516689814816</v>
      </c>
    </row>
    <row r="16" spans="1:15" x14ac:dyDescent="0.25">
      <c r="A16">
        <v>-989193205</v>
      </c>
      <c r="B16" t="s">
        <v>344</v>
      </c>
      <c r="G16">
        <v>41</v>
      </c>
      <c r="H16" t="s">
        <v>29</v>
      </c>
      <c r="I16">
        <v>3960</v>
      </c>
      <c r="J16">
        <v>3944.4</v>
      </c>
      <c r="L16" t="s">
        <v>12</v>
      </c>
      <c r="M16" t="b">
        <v>0</v>
      </c>
      <c r="O16" s="1">
        <v>46188.516689814816</v>
      </c>
    </row>
    <row r="17" spans="1:15" x14ac:dyDescent="0.25">
      <c r="A17">
        <v>-1011298320</v>
      </c>
      <c r="B17" t="s">
        <v>344</v>
      </c>
      <c r="G17">
        <v>35</v>
      </c>
      <c r="H17" t="s">
        <v>36</v>
      </c>
      <c r="I17">
        <v>342</v>
      </c>
      <c r="J17">
        <v>340.4</v>
      </c>
      <c r="L17" t="s">
        <v>12</v>
      </c>
      <c r="M17" t="b">
        <v>0</v>
      </c>
      <c r="O17" s="1">
        <v>46188.516689814816</v>
      </c>
    </row>
    <row r="18" spans="1:15" x14ac:dyDescent="0.25">
      <c r="A18">
        <v>-1102172879</v>
      </c>
      <c r="B18" t="s">
        <v>344</v>
      </c>
      <c r="G18">
        <v>11</v>
      </c>
      <c r="H18" t="s">
        <v>33</v>
      </c>
      <c r="I18">
        <v>211.5</v>
      </c>
      <c r="J18">
        <v>211</v>
      </c>
      <c r="L18" t="s">
        <v>12</v>
      </c>
      <c r="M18" t="b">
        <v>0</v>
      </c>
      <c r="O18" s="1">
        <v>46188.516689814816</v>
      </c>
    </row>
    <row r="19" spans="1:15" x14ac:dyDescent="0.25">
      <c r="A19">
        <v>1781509416</v>
      </c>
      <c r="B19" t="s">
        <v>347</v>
      </c>
      <c r="C19" t="s">
        <v>345</v>
      </c>
      <c r="D19" t="s">
        <v>346</v>
      </c>
      <c r="E19" t="s">
        <v>340</v>
      </c>
      <c r="F19">
        <v>450</v>
      </c>
      <c r="K19" s="1">
        <v>46188.613611111112</v>
      </c>
      <c r="M19" t="b">
        <v>0</v>
      </c>
      <c r="O19" s="1">
        <v>46188.613611111112</v>
      </c>
    </row>
    <row r="20" spans="1:15" x14ac:dyDescent="0.25">
      <c r="A20">
        <v>32727049</v>
      </c>
      <c r="B20" t="s">
        <v>347</v>
      </c>
      <c r="G20">
        <v>41</v>
      </c>
      <c r="H20" t="s">
        <v>29</v>
      </c>
      <c r="I20">
        <v>3960</v>
      </c>
      <c r="J20">
        <v>3955.9</v>
      </c>
      <c r="L20" t="s">
        <v>12</v>
      </c>
      <c r="M20" t="b">
        <v>0</v>
      </c>
      <c r="O20" s="1">
        <v>46188.613611111112</v>
      </c>
    </row>
    <row r="21" spans="1:15" x14ac:dyDescent="0.25">
      <c r="A21">
        <v>-1789921386</v>
      </c>
      <c r="B21" t="s">
        <v>347</v>
      </c>
      <c r="G21">
        <v>35</v>
      </c>
      <c r="H21" t="s">
        <v>36</v>
      </c>
      <c r="I21">
        <v>342</v>
      </c>
      <c r="J21">
        <v>342.8</v>
      </c>
      <c r="L21" t="s">
        <v>12</v>
      </c>
      <c r="M21" t="b">
        <v>0</v>
      </c>
      <c r="O21" s="1">
        <v>46188.613611111112</v>
      </c>
    </row>
    <row r="22" spans="1:15" x14ac:dyDescent="0.25">
      <c r="A22">
        <v>-1895872161</v>
      </c>
      <c r="B22" t="s">
        <v>347</v>
      </c>
      <c r="G22">
        <v>11</v>
      </c>
      <c r="H22" t="s">
        <v>33</v>
      </c>
      <c r="I22">
        <v>211.5</v>
      </c>
      <c r="J22">
        <v>210.5</v>
      </c>
      <c r="L22" t="s">
        <v>12</v>
      </c>
      <c r="M22" t="b">
        <v>0</v>
      </c>
      <c r="O22" s="1">
        <v>46188.613611111112</v>
      </c>
    </row>
    <row r="23" spans="1:15" x14ac:dyDescent="0.25">
      <c r="A23">
        <v>1781512373</v>
      </c>
      <c r="B23" t="s">
        <v>348</v>
      </c>
      <c r="C23" t="s">
        <v>349</v>
      </c>
      <c r="D23" t="s">
        <v>350</v>
      </c>
      <c r="E23" t="s">
        <v>340</v>
      </c>
      <c r="F23">
        <v>250</v>
      </c>
      <c r="K23" s="1">
        <v>46188.647835648146</v>
      </c>
      <c r="M23" t="b">
        <v>0</v>
      </c>
      <c r="O23" s="1">
        <v>46188.647835648146</v>
      </c>
    </row>
    <row r="24" spans="1:15" x14ac:dyDescent="0.25">
      <c r="A24">
        <v>-292153902</v>
      </c>
      <c r="B24" t="s">
        <v>348</v>
      </c>
      <c r="G24">
        <v>41</v>
      </c>
      <c r="H24" t="s">
        <v>29</v>
      </c>
      <c r="I24">
        <v>3445</v>
      </c>
      <c r="J24">
        <v>3448.7</v>
      </c>
      <c r="L24" t="s">
        <v>12</v>
      </c>
      <c r="M24" t="b">
        <v>0</v>
      </c>
      <c r="O24" s="1">
        <v>46188.647835648146</v>
      </c>
    </row>
    <row r="25" spans="1:15" x14ac:dyDescent="0.25">
      <c r="A25">
        <v>-1568898581</v>
      </c>
      <c r="B25" t="s">
        <v>348</v>
      </c>
      <c r="G25">
        <v>35</v>
      </c>
      <c r="H25" t="s">
        <v>36</v>
      </c>
      <c r="I25">
        <v>682.5</v>
      </c>
      <c r="J25">
        <v>678.4</v>
      </c>
      <c r="L25" t="s">
        <v>12</v>
      </c>
      <c r="M25" t="b">
        <v>0</v>
      </c>
      <c r="O25" s="1">
        <v>46188.647835648146</v>
      </c>
    </row>
    <row r="26" spans="1:15" x14ac:dyDescent="0.25">
      <c r="A26">
        <v>-1873020848</v>
      </c>
      <c r="B26" t="s">
        <v>348</v>
      </c>
      <c r="G26">
        <v>16</v>
      </c>
      <c r="H26" t="s">
        <v>13</v>
      </c>
      <c r="I26">
        <v>85</v>
      </c>
      <c r="J26">
        <v>85.5</v>
      </c>
      <c r="L26" t="s">
        <v>12</v>
      </c>
      <c r="M26" t="b">
        <v>0</v>
      </c>
      <c r="O26" s="1">
        <v>46188.647835648146</v>
      </c>
    </row>
    <row r="27" spans="1:15" x14ac:dyDescent="0.25">
      <c r="A27">
        <v>1781517336</v>
      </c>
      <c r="B27" t="s">
        <v>351</v>
      </c>
      <c r="C27" t="s">
        <v>345</v>
      </c>
      <c r="D27" t="s">
        <v>346</v>
      </c>
      <c r="E27" t="s">
        <v>340</v>
      </c>
      <c r="F27">
        <v>450</v>
      </c>
      <c r="K27" s="1">
        <v>46188.705277777779</v>
      </c>
      <c r="M27" t="b">
        <v>0</v>
      </c>
      <c r="O27" s="1">
        <v>46188.705277777779</v>
      </c>
    </row>
    <row r="28" spans="1:15" x14ac:dyDescent="0.25">
      <c r="A28">
        <v>700739641</v>
      </c>
      <c r="B28" t="s">
        <v>351</v>
      </c>
      <c r="G28">
        <v>41</v>
      </c>
      <c r="H28" t="s">
        <v>29</v>
      </c>
      <c r="I28">
        <v>3960</v>
      </c>
      <c r="J28">
        <v>3956.3</v>
      </c>
      <c r="L28" t="s">
        <v>12</v>
      </c>
      <c r="M28" t="b">
        <v>0</v>
      </c>
      <c r="O28" s="1">
        <v>46188.705277777779</v>
      </c>
    </row>
    <row r="29" spans="1:15" x14ac:dyDescent="0.25">
      <c r="A29">
        <v>-2053443578</v>
      </c>
      <c r="B29" t="s">
        <v>351</v>
      </c>
      <c r="G29">
        <v>35</v>
      </c>
      <c r="H29" t="s">
        <v>36</v>
      </c>
      <c r="I29">
        <v>200</v>
      </c>
      <c r="J29">
        <v>199</v>
      </c>
      <c r="L29" t="s">
        <v>12</v>
      </c>
      <c r="M29" t="b">
        <v>0</v>
      </c>
      <c r="O29" s="1">
        <v>46188.705277777779</v>
      </c>
    </row>
    <row r="30" spans="1:15" x14ac:dyDescent="0.25">
      <c r="A30">
        <v>325162255</v>
      </c>
      <c r="B30" t="s">
        <v>351</v>
      </c>
      <c r="G30">
        <v>11</v>
      </c>
      <c r="H30" t="s">
        <v>33</v>
      </c>
      <c r="I30">
        <v>215</v>
      </c>
      <c r="J30">
        <v>212.7</v>
      </c>
      <c r="L30" t="s">
        <v>15</v>
      </c>
      <c r="M30" t="b">
        <v>0</v>
      </c>
      <c r="O30" s="1">
        <v>46188.705277777779</v>
      </c>
    </row>
    <row r="31" spans="1:15" x14ac:dyDescent="0.25">
      <c r="A31">
        <v>1781525878</v>
      </c>
      <c r="B31" t="s">
        <v>352</v>
      </c>
      <c r="C31" t="s">
        <v>353</v>
      </c>
      <c r="D31" t="s">
        <v>354</v>
      </c>
      <c r="E31" t="s">
        <v>336</v>
      </c>
      <c r="F31">
        <v>120</v>
      </c>
      <c r="K31" s="1">
        <v>46188.804131944446</v>
      </c>
      <c r="M31" t="b">
        <v>0</v>
      </c>
      <c r="O31" s="1">
        <v>46188.804131944446</v>
      </c>
    </row>
    <row r="32" spans="1:15" x14ac:dyDescent="0.25">
      <c r="A32">
        <v>1229242815</v>
      </c>
      <c r="B32" t="s">
        <v>352</v>
      </c>
      <c r="G32">
        <v>41</v>
      </c>
      <c r="H32" t="s">
        <v>29</v>
      </c>
      <c r="I32">
        <v>680.4</v>
      </c>
      <c r="J32">
        <v>681.7</v>
      </c>
      <c r="L32" t="s">
        <v>12</v>
      </c>
      <c r="M32" t="b">
        <v>0</v>
      </c>
      <c r="O32" s="1">
        <v>46188.804131944446</v>
      </c>
    </row>
    <row r="33" spans="1:15" x14ac:dyDescent="0.25">
      <c r="A33">
        <v>-1679316844</v>
      </c>
      <c r="B33" t="s">
        <v>352</v>
      </c>
      <c r="G33">
        <v>58</v>
      </c>
      <c r="H33" t="s">
        <v>32</v>
      </c>
      <c r="I33">
        <v>166.08</v>
      </c>
      <c r="J33">
        <v>167.5</v>
      </c>
      <c r="L33" t="s">
        <v>12</v>
      </c>
      <c r="M33" t="b">
        <v>0</v>
      </c>
      <c r="O33" s="1">
        <v>46188.804131944446</v>
      </c>
    </row>
    <row r="34" spans="1:15" x14ac:dyDescent="0.25">
      <c r="A34">
        <v>-902981115</v>
      </c>
      <c r="B34" t="s">
        <v>352</v>
      </c>
      <c r="G34">
        <v>44</v>
      </c>
      <c r="H34" t="s">
        <v>16</v>
      </c>
      <c r="I34">
        <v>46.8</v>
      </c>
      <c r="J34">
        <v>46.9</v>
      </c>
      <c r="L34" t="s">
        <v>12</v>
      </c>
      <c r="M34" t="b">
        <v>0</v>
      </c>
      <c r="O34" s="1">
        <v>46188.804131944446</v>
      </c>
    </row>
    <row r="35" spans="1:15" x14ac:dyDescent="0.25">
      <c r="A35">
        <v>-1432055582</v>
      </c>
      <c r="B35" t="s">
        <v>352</v>
      </c>
      <c r="G35">
        <v>68</v>
      </c>
      <c r="H35" t="s">
        <v>14</v>
      </c>
      <c r="I35">
        <v>70.319999999999993</v>
      </c>
      <c r="J35">
        <v>70.099999999999994</v>
      </c>
      <c r="L35" t="s">
        <v>12</v>
      </c>
      <c r="M35" t="b">
        <v>0</v>
      </c>
      <c r="O35" s="1">
        <v>46188.804131944446</v>
      </c>
    </row>
    <row r="36" spans="1:15" x14ac:dyDescent="0.25">
      <c r="A36">
        <v>1781526737</v>
      </c>
      <c r="B36" t="s">
        <v>355</v>
      </c>
      <c r="C36" t="s">
        <v>356</v>
      </c>
      <c r="D36" t="s">
        <v>224</v>
      </c>
      <c r="E36" t="s">
        <v>340</v>
      </c>
      <c r="F36">
        <v>250</v>
      </c>
      <c r="K36" s="1">
        <v>46188.814085648148</v>
      </c>
      <c r="M36" t="b">
        <v>0</v>
      </c>
      <c r="O36" s="1">
        <v>46188.814085648148</v>
      </c>
    </row>
    <row r="37" spans="1:15" x14ac:dyDescent="0.25">
      <c r="A37">
        <v>-1677124930</v>
      </c>
      <c r="B37" t="s">
        <v>355</v>
      </c>
      <c r="G37">
        <v>41</v>
      </c>
      <c r="H37" t="s">
        <v>29</v>
      </c>
      <c r="I37">
        <v>4067.5</v>
      </c>
      <c r="J37">
        <v>4066.8</v>
      </c>
      <c r="L37" t="s">
        <v>12</v>
      </c>
      <c r="M37" t="b">
        <v>0</v>
      </c>
      <c r="O37" s="1">
        <v>46188.814085648148</v>
      </c>
    </row>
    <row r="38" spans="1:15" x14ac:dyDescent="0.25">
      <c r="A38">
        <v>354445159</v>
      </c>
      <c r="B38" t="s">
        <v>355</v>
      </c>
      <c r="G38">
        <v>35</v>
      </c>
      <c r="H38" t="s">
        <v>36</v>
      </c>
      <c r="I38">
        <v>591</v>
      </c>
      <c r="J38">
        <v>591.79999999999995</v>
      </c>
      <c r="L38" t="s">
        <v>12</v>
      </c>
      <c r="M38" t="b">
        <v>0</v>
      </c>
      <c r="O38" s="1">
        <v>46188.814085648148</v>
      </c>
    </row>
    <row r="39" spans="1:15" x14ac:dyDescent="0.25">
      <c r="A39">
        <v>-363284708</v>
      </c>
      <c r="B39" t="s">
        <v>355</v>
      </c>
      <c r="G39">
        <v>16</v>
      </c>
      <c r="H39" t="s">
        <v>13</v>
      </c>
      <c r="I39">
        <v>542.5</v>
      </c>
      <c r="J39">
        <v>542.1</v>
      </c>
      <c r="L39" t="s">
        <v>12</v>
      </c>
      <c r="M39" t="b">
        <v>0</v>
      </c>
      <c r="O39" s="1">
        <v>46188.814085648148</v>
      </c>
    </row>
    <row r="40" spans="1:15" x14ac:dyDescent="0.25">
      <c r="A40">
        <v>1781536297</v>
      </c>
      <c r="B40" t="s">
        <v>357</v>
      </c>
      <c r="C40" t="s">
        <v>358</v>
      </c>
      <c r="D40" t="s">
        <v>359</v>
      </c>
      <c r="E40" t="s">
        <v>336</v>
      </c>
      <c r="F40">
        <v>50</v>
      </c>
      <c r="K40" s="1">
        <v>46188.924733796295</v>
      </c>
      <c r="M40" t="b">
        <v>0</v>
      </c>
      <c r="O40" s="1">
        <v>46188.924733796295</v>
      </c>
    </row>
    <row r="41" spans="1:15" x14ac:dyDescent="0.25">
      <c r="A41">
        <v>1536998198</v>
      </c>
      <c r="B41" t="s">
        <v>357</v>
      </c>
      <c r="G41">
        <v>41</v>
      </c>
      <c r="H41" t="s">
        <v>29</v>
      </c>
      <c r="I41">
        <v>1087.5</v>
      </c>
      <c r="L41" t="s">
        <v>15</v>
      </c>
      <c r="M41" t="b">
        <v>0</v>
      </c>
      <c r="O41" s="1">
        <v>46188.924733796295</v>
      </c>
    </row>
    <row r="42" spans="1:15" x14ac:dyDescent="0.25">
      <c r="A42">
        <v>708799615</v>
      </c>
      <c r="B42" t="s">
        <v>357</v>
      </c>
      <c r="G42">
        <v>44</v>
      </c>
      <c r="H42" t="s">
        <v>16</v>
      </c>
      <c r="I42">
        <v>225</v>
      </c>
      <c r="L42" t="s">
        <v>15</v>
      </c>
      <c r="M42" t="b">
        <v>0</v>
      </c>
      <c r="O42" s="1">
        <v>46188.924733796295</v>
      </c>
    </row>
    <row r="43" spans="1:15" x14ac:dyDescent="0.25">
      <c r="A43">
        <v>1781536432</v>
      </c>
      <c r="B43" t="s">
        <v>360</v>
      </c>
      <c r="C43" t="s">
        <v>358</v>
      </c>
      <c r="D43" t="s">
        <v>359</v>
      </c>
      <c r="E43" t="s">
        <v>336</v>
      </c>
      <c r="F43">
        <v>50</v>
      </c>
      <c r="K43" s="1">
        <v>46188.926296296297</v>
      </c>
      <c r="M43" t="b">
        <v>0</v>
      </c>
      <c r="O43" s="1">
        <v>46188.926296296297</v>
      </c>
    </row>
    <row r="44" spans="1:15" x14ac:dyDescent="0.25">
      <c r="A44">
        <v>450239729</v>
      </c>
      <c r="B44" t="s">
        <v>360</v>
      </c>
      <c r="G44">
        <v>41</v>
      </c>
      <c r="H44" t="s">
        <v>29</v>
      </c>
      <c r="I44">
        <v>1087.5</v>
      </c>
      <c r="J44">
        <v>1096.8</v>
      </c>
      <c r="L44" t="s">
        <v>12</v>
      </c>
      <c r="M44" t="b">
        <v>0</v>
      </c>
      <c r="O44" s="1">
        <v>46188.926296296297</v>
      </c>
    </row>
    <row r="45" spans="1:15" x14ac:dyDescent="0.25">
      <c r="A45">
        <v>1558420574</v>
      </c>
      <c r="B45" t="s">
        <v>360</v>
      </c>
      <c r="G45">
        <v>44</v>
      </c>
      <c r="H45" t="s">
        <v>16</v>
      </c>
      <c r="I45">
        <v>225</v>
      </c>
      <c r="J45">
        <v>225.6</v>
      </c>
      <c r="L45" t="s">
        <v>12</v>
      </c>
      <c r="M45" t="b">
        <v>0</v>
      </c>
      <c r="O45" s="1">
        <v>46188.926296296297</v>
      </c>
    </row>
    <row r="46" spans="1:15" x14ac:dyDescent="0.25">
      <c r="A46">
        <v>1781539126</v>
      </c>
      <c r="B46" t="s">
        <v>361</v>
      </c>
      <c r="C46" t="s">
        <v>362</v>
      </c>
      <c r="D46" t="s">
        <v>363</v>
      </c>
      <c r="E46" t="s">
        <v>364</v>
      </c>
      <c r="F46">
        <v>310</v>
      </c>
      <c r="K46" s="1">
        <v>46188.957476851851</v>
      </c>
      <c r="M46" t="b">
        <v>0</v>
      </c>
      <c r="O46" s="1">
        <v>46188.957476851851</v>
      </c>
    </row>
    <row r="47" spans="1:15" x14ac:dyDescent="0.25">
      <c r="A47">
        <v>-1479779713</v>
      </c>
      <c r="B47" t="s">
        <v>361</v>
      </c>
      <c r="H47" t="s">
        <v>29</v>
      </c>
      <c r="I47">
        <v>4302.8</v>
      </c>
      <c r="J47">
        <v>4309.2</v>
      </c>
      <c r="L47" t="s">
        <v>12</v>
      </c>
      <c r="M47" t="b">
        <v>0</v>
      </c>
      <c r="O47" s="1">
        <v>46188.957476851851</v>
      </c>
    </row>
    <row r="48" spans="1:15" x14ac:dyDescent="0.25">
      <c r="A48">
        <v>2096759380</v>
      </c>
      <c r="B48" t="s">
        <v>361</v>
      </c>
      <c r="G48">
        <v>35</v>
      </c>
      <c r="H48" t="s">
        <v>36</v>
      </c>
      <c r="I48">
        <v>124</v>
      </c>
      <c r="J48">
        <v>125.5</v>
      </c>
      <c r="L48" t="s">
        <v>15</v>
      </c>
      <c r="M48" t="b">
        <v>0</v>
      </c>
      <c r="O48" s="1">
        <v>46188.957476851851</v>
      </c>
    </row>
    <row r="49" spans="1:15" x14ac:dyDescent="0.25">
      <c r="A49">
        <v>-2029395771</v>
      </c>
      <c r="B49" t="s">
        <v>361</v>
      </c>
      <c r="G49">
        <v>44</v>
      </c>
      <c r="H49" t="s">
        <v>16</v>
      </c>
      <c r="I49">
        <v>89.9</v>
      </c>
      <c r="J49">
        <v>91.4</v>
      </c>
      <c r="L49" t="s">
        <v>15</v>
      </c>
      <c r="M49" t="b">
        <v>0</v>
      </c>
      <c r="O49" s="1">
        <v>46188.957476851851</v>
      </c>
    </row>
    <row r="50" spans="1:15" x14ac:dyDescent="0.25">
      <c r="A50">
        <v>-1259503454</v>
      </c>
      <c r="B50" t="s">
        <v>361</v>
      </c>
      <c r="G50">
        <v>16</v>
      </c>
      <c r="H50" t="s">
        <v>13</v>
      </c>
      <c r="I50">
        <v>403</v>
      </c>
      <c r="J50">
        <v>405.4</v>
      </c>
      <c r="L50" t="s">
        <v>12</v>
      </c>
      <c r="M50" t="b">
        <v>0</v>
      </c>
      <c r="O50" s="1">
        <v>46188.957476851851</v>
      </c>
    </row>
    <row r="51" spans="1:15" x14ac:dyDescent="0.25">
      <c r="A51">
        <v>1781549459</v>
      </c>
      <c r="B51" t="s">
        <v>365</v>
      </c>
      <c r="C51" t="s">
        <v>366</v>
      </c>
      <c r="D51" t="s">
        <v>354</v>
      </c>
      <c r="E51" t="s">
        <v>336</v>
      </c>
      <c r="F51">
        <v>50</v>
      </c>
      <c r="K51" s="1">
        <v>46189.07707175926</v>
      </c>
      <c r="M51" t="b">
        <v>0</v>
      </c>
      <c r="O51" s="1">
        <v>46189.07707175926</v>
      </c>
    </row>
    <row r="52" spans="1:15" x14ac:dyDescent="0.25">
      <c r="A52">
        <v>-766050088</v>
      </c>
      <c r="B52" t="s">
        <v>365</v>
      </c>
      <c r="G52">
        <v>41</v>
      </c>
      <c r="H52" t="s">
        <v>29</v>
      </c>
      <c r="I52">
        <v>600</v>
      </c>
      <c r="J52">
        <v>0.01</v>
      </c>
      <c r="L52" t="s">
        <v>15</v>
      </c>
      <c r="M52" t="b">
        <v>0</v>
      </c>
      <c r="O52" s="1">
        <v>46189.07707175926</v>
      </c>
    </row>
    <row r="53" spans="1:15" x14ac:dyDescent="0.25">
      <c r="A53">
        <v>571291129</v>
      </c>
      <c r="B53" t="s">
        <v>365</v>
      </c>
      <c r="G53">
        <v>34</v>
      </c>
      <c r="H53" t="s">
        <v>18</v>
      </c>
      <c r="I53">
        <v>2.5</v>
      </c>
      <c r="J53">
        <v>2.5</v>
      </c>
      <c r="L53" t="s">
        <v>12</v>
      </c>
      <c r="M53" t="b">
        <v>0</v>
      </c>
      <c r="O53" s="1">
        <v>46189.07707175926</v>
      </c>
    </row>
    <row r="54" spans="1:15" x14ac:dyDescent="0.25">
      <c r="A54">
        <v>1007694534</v>
      </c>
      <c r="B54" t="s">
        <v>365</v>
      </c>
      <c r="G54">
        <v>16</v>
      </c>
      <c r="H54" t="s">
        <v>13</v>
      </c>
      <c r="I54">
        <v>2.5</v>
      </c>
      <c r="J54">
        <v>2.4900000000000002</v>
      </c>
      <c r="L54" t="s">
        <v>12</v>
      </c>
      <c r="M54" t="b">
        <v>0</v>
      </c>
      <c r="O54" s="1">
        <v>46189.07707175926</v>
      </c>
    </row>
    <row r="55" spans="1:15" x14ac:dyDescent="0.25">
      <c r="A55">
        <v>1781571013</v>
      </c>
      <c r="B55" t="s">
        <v>367</v>
      </c>
      <c r="C55" t="s">
        <v>368</v>
      </c>
      <c r="D55" t="s">
        <v>369</v>
      </c>
      <c r="E55" t="s">
        <v>336</v>
      </c>
      <c r="F55">
        <v>120</v>
      </c>
      <c r="K55" s="1">
        <v>46189.326539351852</v>
      </c>
      <c r="M55" t="b">
        <v>0</v>
      </c>
      <c r="O55" s="1">
        <v>46189.326539351852</v>
      </c>
    </row>
    <row r="56" spans="1:15" x14ac:dyDescent="0.25">
      <c r="A56">
        <v>-1333085790</v>
      </c>
      <c r="B56" t="s">
        <v>367</v>
      </c>
      <c r="G56">
        <v>41</v>
      </c>
      <c r="H56" t="s">
        <v>29</v>
      </c>
      <c r="I56">
        <v>1488</v>
      </c>
      <c r="J56">
        <v>1481.6</v>
      </c>
      <c r="L56" t="s">
        <v>12</v>
      </c>
      <c r="M56" t="b">
        <v>0</v>
      </c>
      <c r="O56" s="1">
        <v>46189.326539351852</v>
      </c>
    </row>
    <row r="57" spans="1:15" x14ac:dyDescent="0.25">
      <c r="A57">
        <v>1772760443</v>
      </c>
      <c r="B57" t="s">
        <v>367</v>
      </c>
      <c r="G57">
        <v>58</v>
      </c>
      <c r="H57" t="s">
        <v>32</v>
      </c>
      <c r="I57">
        <v>792</v>
      </c>
      <c r="J57">
        <v>786.5</v>
      </c>
      <c r="L57" t="s">
        <v>12</v>
      </c>
      <c r="M57" t="b">
        <v>0</v>
      </c>
      <c r="O57" s="1">
        <v>46189.326539351852</v>
      </c>
    </row>
    <row r="58" spans="1:15" x14ac:dyDescent="0.25">
      <c r="A58">
        <v>-1350139744</v>
      </c>
      <c r="B58" t="s">
        <v>367</v>
      </c>
      <c r="G58">
        <v>16</v>
      </c>
      <c r="H58" t="s">
        <v>13</v>
      </c>
      <c r="I58">
        <v>960</v>
      </c>
      <c r="J58">
        <v>959.3</v>
      </c>
      <c r="L58" t="s">
        <v>12</v>
      </c>
      <c r="M58" t="b">
        <v>0</v>
      </c>
      <c r="O58" s="1">
        <v>46189.326539351852</v>
      </c>
    </row>
    <row r="59" spans="1:15" x14ac:dyDescent="0.25">
      <c r="A59">
        <v>-1170973663</v>
      </c>
      <c r="B59" t="s">
        <v>367</v>
      </c>
      <c r="G59">
        <v>35</v>
      </c>
      <c r="H59" t="s">
        <v>36</v>
      </c>
      <c r="I59">
        <v>103.2</v>
      </c>
      <c r="J59">
        <v>103.7</v>
      </c>
      <c r="L59" t="s">
        <v>12</v>
      </c>
      <c r="M59" t="b">
        <v>0</v>
      </c>
      <c r="O59" s="1">
        <v>46189.326539351852</v>
      </c>
    </row>
    <row r="60" spans="1:15" x14ac:dyDescent="0.25">
      <c r="A60">
        <v>-382085170</v>
      </c>
      <c r="B60" t="s">
        <v>367</v>
      </c>
      <c r="G60">
        <v>4</v>
      </c>
      <c r="H60" t="s">
        <v>27</v>
      </c>
      <c r="I60">
        <v>50.4</v>
      </c>
      <c r="J60">
        <v>50.3</v>
      </c>
      <c r="L60" t="s">
        <v>12</v>
      </c>
      <c r="M60" t="b">
        <v>0</v>
      </c>
      <c r="O60" s="1">
        <v>46189.326539351852</v>
      </c>
    </row>
    <row r="61" spans="1:15" x14ac:dyDescent="0.25">
      <c r="A61">
        <v>1781576064</v>
      </c>
      <c r="B61" t="s">
        <v>370</v>
      </c>
      <c r="C61" t="s">
        <v>345</v>
      </c>
      <c r="D61" t="s">
        <v>371</v>
      </c>
      <c r="E61" t="s">
        <v>340</v>
      </c>
      <c r="F61">
        <v>50</v>
      </c>
      <c r="K61" s="1">
        <v>46189.385000000002</v>
      </c>
      <c r="M61" t="b">
        <v>0</v>
      </c>
      <c r="O61" s="1">
        <v>46189.385000000002</v>
      </c>
    </row>
    <row r="62" spans="1:15" x14ac:dyDescent="0.25">
      <c r="A62">
        <v>1242051457</v>
      </c>
      <c r="B62" t="s">
        <v>370</v>
      </c>
      <c r="G62">
        <v>41</v>
      </c>
      <c r="H62" t="s">
        <v>29</v>
      </c>
      <c r="I62">
        <v>225</v>
      </c>
      <c r="J62">
        <v>223.4</v>
      </c>
      <c r="L62" t="s">
        <v>12</v>
      </c>
      <c r="M62" t="b">
        <v>0</v>
      </c>
      <c r="O62" s="1">
        <v>46189.385000000002</v>
      </c>
    </row>
    <row r="63" spans="1:15" x14ac:dyDescent="0.25">
      <c r="A63">
        <v>2096559022</v>
      </c>
      <c r="B63" t="s">
        <v>370</v>
      </c>
      <c r="G63">
        <v>35</v>
      </c>
      <c r="H63" t="s">
        <v>36</v>
      </c>
      <c r="I63">
        <v>30</v>
      </c>
      <c r="J63">
        <v>29.9</v>
      </c>
      <c r="L63" t="s">
        <v>12</v>
      </c>
      <c r="M63" t="b">
        <v>0</v>
      </c>
      <c r="O63" s="1">
        <v>46189.385000000002</v>
      </c>
    </row>
    <row r="64" spans="1:15" x14ac:dyDescent="0.25">
      <c r="A64">
        <v>-606656105</v>
      </c>
      <c r="B64" t="s">
        <v>370</v>
      </c>
      <c r="G64">
        <v>44</v>
      </c>
      <c r="H64" t="s">
        <v>16</v>
      </c>
      <c r="I64">
        <v>14</v>
      </c>
      <c r="J64">
        <v>14</v>
      </c>
      <c r="L64" t="s">
        <v>12</v>
      </c>
      <c r="M64" t="b">
        <v>0</v>
      </c>
      <c r="O64" s="1">
        <v>46189.385000000002</v>
      </c>
    </row>
    <row r="65" spans="1:15" x14ac:dyDescent="0.25">
      <c r="A65">
        <v>1781576697</v>
      </c>
      <c r="B65" t="s">
        <v>372</v>
      </c>
      <c r="C65" t="s">
        <v>373</v>
      </c>
      <c r="D65" t="s">
        <v>374</v>
      </c>
      <c r="E65" t="s">
        <v>340</v>
      </c>
      <c r="F65">
        <v>330</v>
      </c>
      <c r="K65" s="1">
        <v>46189.392326388886</v>
      </c>
      <c r="M65" t="b">
        <v>0</v>
      </c>
      <c r="O65" s="1">
        <v>46189.392326388886</v>
      </c>
    </row>
    <row r="66" spans="1:15" x14ac:dyDescent="0.25">
      <c r="A66">
        <v>1300322502</v>
      </c>
      <c r="B66" t="s">
        <v>372</v>
      </c>
      <c r="G66">
        <v>41</v>
      </c>
      <c r="H66" t="s">
        <v>29</v>
      </c>
      <c r="I66">
        <v>3300</v>
      </c>
      <c r="J66">
        <v>3299.8</v>
      </c>
      <c r="L66" t="s">
        <v>12</v>
      </c>
      <c r="M66" t="b">
        <v>0</v>
      </c>
      <c r="O66" s="1">
        <v>46189.392326388886</v>
      </c>
    </row>
    <row r="67" spans="1:15" x14ac:dyDescent="0.25">
      <c r="A67">
        <v>-1459716401</v>
      </c>
      <c r="B67" t="s">
        <v>372</v>
      </c>
      <c r="G67">
        <v>35</v>
      </c>
      <c r="H67" t="s">
        <v>36</v>
      </c>
      <c r="I67">
        <v>217.8</v>
      </c>
      <c r="J67">
        <v>215.8</v>
      </c>
      <c r="L67" t="s">
        <v>12</v>
      </c>
      <c r="M67" t="b">
        <v>0</v>
      </c>
      <c r="O67" s="1">
        <v>46189.392326388886</v>
      </c>
    </row>
    <row r="68" spans="1:15" x14ac:dyDescent="0.25">
      <c r="A68">
        <v>1131037796</v>
      </c>
      <c r="B68" t="s">
        <v>372</v>
      </c>
      <c r="G68">
        <v>44</v>
      </c>
      <c r="H68" t="s">
        <v>16</v>
      </c>
      <c r="I68">
        <v>270.60000000000002</v>
      </c>
      <c r="J68">
        <v>268.39999999999998</v>
      </c>
      <c r="L68" t="s">
        <v>12</v>
      </c>
      <c r="M68" t="b">
        <v>0</v>
      </c>
      <c r="O68" s="1">
        <v>46189.392326388886</v>
      </c>
    </row>
    <row r="69" spans="1:15" x14ac:dyDescent="0.25">
      <c r="A69">
        <v>1781593719</v>
      </c>
      <c r="B69" t="s">
        <v>375</v>
      </c>
      <c r="C69" t="s">
        <v>376</v>
      </c>
      <c r="D69" t="s">
        <v>377</v>
      </c>
      <c r="E69" t="s">
        <v>340</v>
      </c>
      <c r="F69">
        <v>450</v>
      </c>
      <c r="K69" s="1">
        <v>46189.589328703703</v>
      </c>
      <c r="M69" t="b">
        <v>0</v>
      </c>
      <c r="O69" s="1">
        <v>46189.589328703703</v>
      </c>
    </row>
    <row r="70" spans="1:15" x14ac:dyDescent="0.25">
      <c r="A70">
        <v>852114668</v>
      </c>
      <c r="B70" t="s">
        <v>375</v>
      </c>
      <c r="G70">
        <v>41</v>
      </c>
      <c r="H70" t="s">
        <v>29</v>
      </c>
      <c r="I70">
        <v>972</v>
      </c>
      <c r="J70">
        <v>977.2</v>
      </c>
      <c r="L70" t="s">
        <v>12</v>
      </c>
      <c r="M70" t="b">
        <v>0</v>
      </c>
      <c r="O70" s="1">
        <v>46189.589328703703</v>
      </c>
    </row>
    <row r="71" spans="1:15" x14ac:dyDescent="0.25">
      <c r="A71">
        <v>1061731709</v>
      </c>
      <c r="B71" t="s">
        <v>375</v>
      </c>
      <c r="G71">
        <v>58</v>
      </c>
      <c r="H71" t="s">
        <v>32</v>
      </c>
      <c r="I71">
        <v>1993.5</v>
      </c>
      <c r="J71">
        <v>1997.1</v>
      </c>
      <c r="L71" t="s">
        <v>12</v>
      </c>
      <c r="M71" t="b">
        <v>0</v>
      </c>
      <c r="O71" s="1">
        <v>46189.589328703703</v>
      </c>
    </row>
    <row r="72" spans="1:15" x14ac:dyDescent="0.25">
      <c r="A72">
        <v>675781882</v>
      </c>
      <c r="B72" t="s">
        <v>375</v>
      </c>
      <c r="G72">
        <v>35</v>
      </c>
      <c r="H72" t="s">
        <v>36</v>
      </c>
      <c r="I72">
        <v>339.3</v>
      </c>
      <c r="J72">
        <v>340.1</v>
      </c>
      <c r="L72" t="s">
        <v>12</v>
      </c>
      <c r="M72" t="b">
        <v>0</v>
      </c>
      <c r="O72" s="1">
        <v>46189.589328703703</v>
      </c>
    </row>
    <row r="73" spans="1:15" x14ac:dyDescent="0.25">
      <c r="A73">
        <v>1210004467</v>
      </c>
      <c r="B73" t="s">
        <v>375</v>
      </c>
      <c r="G73">
        <v>16</v>
      </c>
      <c r="H73" t="s">
        <v>13</v>
      </c>
      <c r="I73">
        <v>137.69999999999999</v>
      </c>
      <c r="J73">
        <v>137.4</v>
      </c>
      <c r="L73" t="s">
        <v>12</v>
      </c>
      <c r="M73" t="b">
        <v>0</v>
      </c>
      <c r="O73" s="1">
        <v>46189.589328703703</v>
      </c>
    </row>
    <row r="74" spans="1:15" x14ac:dyDescent="0.25">
      <c r="A74">
        <v>1781594338</v>
      </c>
      <c r="B74" t="s">
        <v>378</v>
      </c>
      <c r="C74" t="s">
        <v>379</v>
      </c>
      <c r="D74" t="s">
        <v>380</v>
      </c>
      <c r="E74" t="s">
        <v>336</v>
      </c>
      <c r="F74">
        <v>100</v>
      </c>
      <c r="K74" s="1">
        <v>46189.596504629626</v>
      </c>
      <c r="M74" t="b">
        <v>0</v>
      </c>
      <c r="O74" s="1">
        <v>46189.596504629626</v>
      </c>
    </row>
    <row r="75" spans="1:15" x14ac:dyDescent="0.25">
      <c r="A75">
        <v>-122238021</v>
      </c>
      <c r="B75" t="s">
        <v>378</v>
      </c>
      <c r="G75">
        <v>41</v>
      </c>
      <c r="H75" t="s">
        <v>29</v>
      </c>
      <c r="I75">
        <v>500</v>
      </c>
      <c r="J75">
        <v>504.5</v>
      </c>
      <c r="L75" t="s">
        <v>12</v>
      </c>
      <c r="M75" t="b">
        <v>0</v>
      </c>
      <c r="O75" s="1">
        <v>46189.596504629626</v>
      </c>
    </row>
    <row r="76" spans="1:15" x14ac:dyDescent="0.25">
      <c r="A76">
        <v>1781595159</v>
      </c>
      <c r="B76" t="s">
        <v>381</v>
      </c>
      <c r="C76" t="s">
        <v>382</v>
      </c>
      <c r="D76" t="s">
        <v>383</v>
      </c>
      <c r="E76" t="s">
        <v>340</v>
      </c>
      <c r="F76">
        <v>50</v>
      </c>
      <c r="K76" s="1">
        <v>46189.605995370373</v>
      </c>
      <c r="M76" t="b">
        <v>0</v>
      </c>
      <c r="O76" s="1">
        <v>46189.605995370373</v>
      </c>
    </row>
    <row r="77" spans="1:15" x14ac:dyDescent="0.25">
      <c r="A77">
        <v>2144926220</v>
      </c>
      <c r="B77" t="s">
        <v>381</v>
      </c>
      <c r="G77">
        <v>41</v>
      </c>
      <c r="H77" t="s">
        <v>29</v>
      </c>
      <c r="I77">
        <v>900</v>
      </c>
      <c r="J77">
        <v>907</v>
      </c>
      <c r="L77" t="s">
        <v>12</v>
      </c>
      <c r="M77" t="b">
        <v>0</v>
      </c>
      <c r="O77" s="1">
        <v>46189.605995370373</v>
      </c>
    </row>
    <row r="78" spans="1:15" x14ac:dyDescent="0.25">
      <c r="A78">
        <v>-1328890851</v>
      </c>
      <c r="B78" t="s">
        <v>381</v>
      </c>
      <c r="G78">
        <v>35</v>
      </c>
      <c r="H78" t="s">
        <v>36</v>
      </c>
      <c r="I78">
        <v>108.5</v>
      </c>
      <c r="J78">
        <v>109</v>
      </c>
      <c r="L78" t="s">
        <v>12</v>
      </c>
      <c r="M78" t="b">
        <v>0</v>
      </c>
      <c r="O78" s="1">
        <v>46189.605995370373</v>
      </c>
    </row>
    <row r="79" spans="1:15" x14ac:dyDescent="0.25">
      <c r="A79">
        <v>1781603525</v>
      </c>
      <c r="B79" t="s">
        <v>384</v>
      </c>
      <c r="C79" t="s">
        <v>385</v>
      </c>
      <c r="D79" t="s">
        <v>386</v>
      </c>
      <c r="E79" t="s">
        <v>340</v>
      </c>
      <c r="F79">
        <v>250</v>
      </c>
      <c r="K79" s="1">
        <v>46189.702835648146</v>
      </c>
      <c r="M79" t="b">
        <v>0</v>
      </c>
      <c r="O79" s="1">
        <v>46189.702835648146</v>
      </c>
    </row>
    <row r="80" spans="1:15" x14ac:dyDescent="0.25">
      <c r="A80">
        <v>-491058014</v>
      </c>
      <c r="B80" t="s">
        <v>384</v>
      </c>
      <c r="G80">
        <v>41</v>
      </c>
      <c r="H80" t="s">
        <v>29</v>
      </c>
      <c r="I80">
        <v>2200</v>
      </c>
      <c r="J80">
        <v>2207</v>
      </c>
      <c r="L80" t="s">
        <v>12</v>
      </c>
      <c r="M80" t="b">
        <v>0</v>
      </c>
      <c r="O80" s="1">
        <v>46189.702835648146</v>
      </c>
    </row>
    <row r="81" spans="1:15" x14ac:dyDescent="0.25">
      <c r="A81">
        <v>1723516027</v>
      </c>
      <c r="B81" t="s">
        <v>384</v>
      </c>
      <c r="G81">
        <v>16</v>
      </c>
      <c r="H81" t="s">
        <v>13</v>
      </c>
      <c r="I81">
        <v>1050</v>
      </c>
      <c r="J81">
        <v>1051</v>
      </c>
      <c r="L81" t="s">
        <v>12</v>
      </c>
      <c r="M81" t="b">
        <v>0</v>
      </c>
      <c r="O81" s="1">
        <v>46189.702835648146</v>
      </c>
    </row>
    <row r="82" spans="1:15" x14ac:dyDescent="0.25">
      <c r="A82">
        <v>-753202272</v>
      </c>
      <c r="B82" t="s">
        <v>384</v>
      </c>
      <c r="G82">
        <v>40</v>
      </c>
      <c r="H82" t="s">
        <v>127</v>
      </c>
      <c r="I82">
        <v>875</v>
      </c>
      <c r="J82">
        <v>878.9</v>
      </c>
      <c r="L82" t="s">
        <v>12</v>
      </c>
      <c r="M82" t="b">
        <v>0</v>
      </c>
      <c r="O82" s="1">
        <v>46189.702835648146</v>
      </c>
    </row>
    <row r="83" spans="1:15" x14ac:dyDescent="0.25">
      <c r="A83">
        <v>808635169</v>
      </c>
      <c r="B83" t="s">
        <v>384</v>
      </c>
      <c r="G83">
        <v>59</v>
      </c>
      <c r="H83" t="s">
        <v>31</v>
      </c>
      <c r="I83">
        <v>75</v>
      </c>
      <c r="J83">
        <v>75.2</v>
      </c>
      <c r="L83" t="s">
        <v>12</v>
      </c>
      <c r="M83" t="b">
        <v>0</v>
      </c>
      <c r="O83" s="1">
        <v>46189.702835648146</v>
      </c>
    </row>
    <row r="84" spans="1:15" x14ac:dyDescent="0.25">
      <c r="A84">
        <v>1781617995</v>
      </c>
      <c r="B84" t="s">
        <v>387</v>
      </c>
      <c r="C84" t="s">
        <v>388</v>
      </c>
      <c r="D84" t="s">
        <v>389</v>
      </c>
      <c r="E84" t="s">
        <v>336</v>
      </c>
      <c r="F84">
        <v>250</v>
      </c>
      <c r="K84" s="1">
        <v>46189.870312500003</v>
      </c>
      <c r="M84" t="b">
        <v>0</v>
      </c>
      <c r="O84" s="1">
        <v>46189.870312500003</v>
      </c>
    </row>
    <row r="85" spans="1:15" x14ac:dyDescent="0.25">
      <c r="A85">
        <v>420306992</v>
      </c>
      <c r="B85" t="s">
        <v>387</v>
      </c>
      <c r="G85">
        <v>41</v>
      </c>
      <c r="H85" t="s">
        <v>29</v>
      </c>
      <c r="I85">
        <v>2525</v>
      </c>
      <c r="J85">
        <v>2524.1999999999998</v>
      </c>
      <c r="L85" t="s">
        <v>12</v>
      </c>
      <c r="M85" t="b">
        <v>0</v>
      </c>
      <c r="O85" s="1">
        <v>46189.870312500003</v>
      </c>
    </row>
    <row r="86" spans="1:15" x14ac:dyDescent="0.25">
      <c r="A86">
        <v>-2017130383</v>
      </c>
      <c r="B86" t="s">
        <v>387</v>
      </c>
      <c r="G86">
        <v>35</v>
      </c>
      <c r="H86" t="s">
        <v>36</v>
      </c>
      <c r="I86">
        <v>157.5</v>
      </c>
      <c r="J86">
        <v>157.6</v>
      </c>
      <c r="L86" t="s">
        <v>12</v>
      </c>
      <c r="M86" t="b">
        <v>0</v>
      </c>
      <c r="O86" s="1">
        <v>46189.870312500003</v>
      </c>
    </row>
    <row r="87" spans="1:15" x14ac:dyDescent="0.25">
      <c r="A87">
        <v>-1971846690</v>
      </c>
      <c r="B87" t="s">
        <v>387</v>
      </c>
      <c r="G87">
        <v>44</v>
      </c>
      <c r="H87" t="s">
        <v>16</v>
      </c>
      <c r="I87">
        <v>80</v>
      </c>
      <c r="J87">
        <v>80.5</v>
      </c>
      <c r="L87" t="s">
        <v>12</v>
      </c>
      <c r="M87" t="b">
        <v>0</v>
      </c>
      <c r="O87" s="1">
        <v>46189.870312500003</v>
      </c>
    </row>
    <row r="88" spans="1:15" x14ac:dyDescent="0.25">
      <c r="A88">
        <v>1781618171</v>
      </c>
      <c r="B88" t="s">
        <v>390</v>
      </c>
      <c r="C88" t="s">
        <v>345</v>
      </c>
      <c r="D88" t="s">
        <v>346</v>
      </c>
      <c r="E88" t="s">
        <v>340</v>
      </c>
      <c r="F88">
        <v>120</v>
      </c>
      <c r="K88" s="1">
        <v>46189.872349537036</v>
      </c>
      <c r="M88" t="b">
        <v>0</v>
      </c>
      <c r="O88" s="1">
        <v>46189.872349537036</v>
      </c>
    </row>
    <row r="89" spans="1:15" x14ac:dyDescent="0.25">
      <c r="A89">
        <v>-710172896</v>
      </c>
      <c r="B89" t="s">
        <v>390</v>
      </c>
      <c r="G89">
        <v>41</v>
      </c>
      <c r="H89" t="s">
        <v>29</v>
      </c>
      <c r="I89">
        <v>1056</v>
      </c>
      <c r="J89">
        <v>1055.4000000000001</v>
      </c>
      <c r="L89" t="s">
        <v>12</v>
      </c>
      <c r="M89" t="b">
        <v>0</v>
      </c>
      <c r="O89" s="1">
        <v>46189.872349537036</v>
      </c>
    </row>
    <row r="90" spans="1:15" x14ac:dyDescent="0.25">
      <c r="A90">
        <v>-400443231</v>
      </c>
      <c r="B90" t="s">
        <v>390</v>
      </c>
      <c r="G90">
        <v>35</v>
      </c>
      <c r="H90" t="s">
        <v>36</v>
      </c>
      <c r="I90">
        <v>91.2</v>
      </c>
      <c r="J90">
        <v>90.8</v>
      </c>
      <c r="L90" t="s">
        <v>12</v>
      </c>
      <c r="M90" t="b">
        <v>0</v>
      </c>
      <c r="O90" s="1">
        <v>46189.872349537036</v>
      </c>
    </row>
    <row r="91" spans="1:15" x14ac:dyDescent="0.25">
      <c r="A91">
        <v>-586278322</v>
      </c>
      <c r="B91" t="s">
        <v>390</v>
      </c>
      <c r="G91">
        <v>11</v>
      </c>
      <c r="H91" t="s">
        <v>33</v>
      </c>
      <c r="I91">
        <v>56.4</v>
      </c>
      <c r="J91">
        <v>56.7</v>
      </c>
      <c r="L91" t="s">
        <v>12</v>
      </c>
      <c r="M91" t="b">
        <v>0</v>
      </c>
      <c r="O91" s="1">
        <v>46189.872349537036</v>
      </c>
    </row>
    <row r="92" spans="1:15" x14ac:dyDescent="0.25">
      <c r="A92">
        <v>1781618262</v>
      </c>
      <c r="B92" t="s">
        <v>391</v>
      </c>
      <c r="C92" t="s">
        <v>392</v>
      </c>
      <c r="D92" t="s">
        <v>393</v>
      </c>
      <c r="E92" t="s">
        <v>336</v>
      </c>
      <c r="F92">
        <v>50</v>
      </c>
      <c r="K92" s="1">
        <v>46189.873402777775</v>
      </c>
      <c r="M92" t="b">
        <v>0</v>
      </c>
      <c r="O92" s="1">
        <v>46189.873402777775</v>
      </c>
    </row>
    <row r="93" spans="1:15" x14ac:dyDescent="0.25">
      <c r="A93">
        <v>1706914079</v>
      </c>
      <c r="B93" t="s">
        <v>391</v>
      </c>
      <c r="G93">
        <v>41</v>
      </c>
      <c r="H93" t="s">
        <v>29</v>
      </c>
      <c r="I93">
        <v>975</v>
      </c>
      <c r="J93">
        <v>972</v>
      </c>
      <c r="L93" t="s">
        <v>12</v>
      </c>
      <c r="M93" t="b">
        <v>0</v>
      </c>
      <c r="O93" s="1">
        <v>46189.873402777775</v>
      </c>
    </row>
    <row r="94" spans="1:15" x14ac:dyDescent="0.25">
      <c r="A94">
        <v>45005940</v>
      </c>
      <c r="B94" t="s">
        <v>391</v>
      </c>
      <c r="G94">
        <v>4</v>
      </c>
      <c r="H94" t="s">
        <v>27</v>
      </c>
      <c r="I94">
        <v>125</v>
      </c>
      <c r="J94">
        <v>125.7</v>
      </c>
      <c r="L94" t="s">
        <v>12</v>
      </c>
      <c r="M94" t="b">
        <v>0</v>
      </c>
      <c r="O94" s="1">
        <v>46189.873402777775</v>
      </c>
    </row>
    <row r="95" spans="1:15" x14ac:dyDescent="0.25">
      <c r="A95">
        <v>1781621729</v>
      </c>
      <c r="B95" t="s">
        <v>394</v>
      </c>
      <c r="C95" t="s">
        <v>395</v>
      </c>
      <c r="D95" t="s">
        <v>396</v>
      </c>
      <c r="E95" t="s">
        <v>336</v>
      </c>
      <c r="F95">
        <v>50</v>
      </c>
      <c r="K95" s="1">
        <v>46189.913530092592</v>
      </c>
      <c r="M95" t="b">
        <v>0</v>
      </c>
      <c r="O95" s="1">
        <v>46189.913530092592</v>
      </c>
    </row>
    <row r="96" spans="1:15" x14ac:dyDescent="0.25">
      <c r="A96">
        <v>1571468430</v>
      </c>
      <c r="B96" t="s">
        <v>394</v>
      </c>
      <c r="G96">
        <v>41</v>
      </c>
      <c r="H96" t="s">
        <v>29</v>
      </c>
      <c r="I96">
        <v>245</v>
      </c>
      <c r="J96">
        <v>245.81</v>
      </c>
      <c r="L96" t="s">
        <v>12</v>
      </c>
      <c r="M96" t="b">
        <v>0</v>
      </c>
      <c r="O96" s="1">
        <v>46189.913530092592</v>
      </c>
    </row>
    <row r="97" spans="1:15" x14ac:dyDescent="0.25">
      <c r="A97">
        <v>-1296477961</v>
      </c>
      <c r="B97" t="s">
        <v>394</v>
      </c>
      <c r="G97">
        <v>11</v>
      </c>
      <c r="H97" t="s">
        <v>33</v>
      </c>
      <c r="I97">
        <v>9.5</v>
      </c>
      <c r="J97">
        <v>9.5299999999999994</v>
      </c>
      <c r="L97" t="s">
        <v>12</v>
      </c>
      <c r="M97" t="b">
        <v>0</v>
      </c>
      <c r="O97" s="1">
        <v>46189.913530092592</v>
      </c>
    </row>
    <row r="98" spans="1:15" x14ac:dyDescent="0.25">
      <c r="A98">
        <v>-1810815636</v>
      </c>
      <c r="B98" t="s">
        <v>394</v>
      </c>
      <c r="G98">
        <v>68</v>
      </c>
      <c r="H98" t="s">
        <v>14</v>
      </c>
      <c r="I98">
        <v>23.5</v>
      </c>
      <c r="J98">
        <v>23.53</v>
      </c>
      <c r="L98" t="s">
        <v>12</v>
      </c>
      <c r="M98" t="b">
        <v>0</v>
      </c>
      <c r="O98" s="1">
        <v>46189.913530092592</v>
      </c>
    </row>
    <row r="99" spans="1:15" x14ac:dyDescent="0.25">
      <c r="A99">
        <v>-1381852163</v>
      </c>
      <c r="B99" t="s">
        <v>394</v>
      </c>
      <c r="G99">
        <v>59</v>
      </c>
      <c r="H99" t="s">
        <v>31</v>
      </c>
      <c r="I99">
        <v>25</v>
      </c>
      <c r="J99">
        <v>25.1</v>
      </c>
      <c r="L99" t="s">
        <v>12</v>
      </c>
      <c r="M99" t="b">
        <v>0</v>
      </c>
      <c r="O99" s="1">
        <v>46189.913530092592</v>
      </c>
    </row>
    <row r="100" spans="1:15" x14ac:dyDescent="0.25">
      <c r="A100">
        <v>1781624455</v>
      </c>
      <c r="B100" t="s">
        <v>397</v>
      </c>
      <c r="C100" t="s">
        <v>398</v>
      </c>
      <c r="D100" t="s">
        <v>399</v>
      </c>
      <c r="E100" t="s">
        <v>336</v>
      </c>
      <c r="F100">
        <v>100</v>
      </c>
      <c r="K100" s="1">
        <v>46189.945081018515</v>
      </c>
      <c r="M100" t="b">
        <v>0</v>
      </c>
      <c r="O100" s="1">
        <v>46189.945081018515</v>
      </c>
    </row>
    <row r="101" spans="1:15" x14ac:dyDescent="0.25">
      <c r="A101">
        <v>1388165052</v>
      </c>
      <c r="B101" t="s">
        <v>397</v>
      </c>
      <c r="G101">
        <v>41</v>
      </c>
      <c r="H101" t="s">
        <v>29</v>
      </c>
      <c r="I101">
        <v>2000</v>
      </c>
      <c r="J101">
        <v>2007.3</v>
      </c>
      <c r="L101" t="s">
        <v>12</v>
      </c>
      <c r="M101" t="b">
        <v>0</v>
      </c>
      <c r="O101" s="1">
        <v>46189.945081018515</v>
      </c>
    </row>
    <row r="102" spans="1:15" x14ac:dyDescent="0.25">
      <c r="A102">
        <v>1097610253</v>
      </c>
      <c r="B102" t="s">
        <v>397</v>
      </c>
      <c r="G102">
        <v>49</v>
      </c>
      <c r="H102" t="s">
        <v>181</v>
      </c>
      <c r="I102">
        <v>130</v>
      </c>
      <c r="J102">
        <v>131.6</v>
      </c>
      <c r="L102" t="s">
        <v>15</v>
      </c>
      <c r="M102" t="b">
        <v>0</v>
      </c>
      <c r="O102" s="1">
        <v>46189.945081018515</v>
      </c>
    </row>
    <row r="103" spans="1:15" x14ac:dyDescent="0.25">
      <c r="A103">
        <v>956879946</v>
      </c>
      <c r="B103" t="s">
        <v>397</v>
      </c>
      <c r="G103">
        <v>44</v>
      </c>
      <c r="H103" t="s">
        <v>16</v>
      </c>
      <c r="I103">
        <v>60</v>
      </c>
      <c r="J103">
        <v>60.6</v>
      </c>
      <c r="L103" t="s">
        <v>12</v>
      </c>
      <c r="M103" t="b">
        <v>0</v>
      </c>
      <c r="O103" s="1">
        <v>46189.945081018515</v>
      </c>
    </row>
    <row r="104" spans="1:15" x14ac:dyDescent="0.25">
      <c r="A104">
        <v>365415683</v>
      </c>
      <c r="B104" t="s">
        <v>397</v>
      </c>
      <c r="G104">
        <v>35</v>
      </c>
      <c r="H104" t="s">
        <v>36</v>
      </c>
      <c r="I104">
        <v>20</v>
      </c>
      <c r="J104">
        <v>19.600000000000001</v>
      </c>
      <c r="L104" t="s">
        <v>15</v>
      </c>
      <c r="M104" t="b">
        <v>0</v>
      </c>
      <c r="O104" s="1">
        <v>46189.945081018515</v>
      </c>
    </row>
    <row r="105" spans="1:15" x14ac:dyDescent="0.25">
      <c r="A105">
        <v>1781624573</v>
      </c>
      <c r="B105" t="s">
        <v>400</v>
      </c>
      <c r="C105" t="s">
        <v>382</v>
      </c>
      <c r="D105" t="s">
        <v>383</v>
      </c>
      <c r="E105" t="s">
        <v>364</v>
      </c>
      <c r="F105">
        <v>50</v>
      </c>
      <c r="K105" s="1">
        <v>46189.946446759262</v>
      </c>
      <c r="M105" t="b">
        <v>0</v>
      </c>
      <c r="O105" s="1">
        <v>46189.946446759262</v>
      </c>
    </row>
    <row r="106" spans="1:15" x14ac:dyDescent="0.25">
      <c r="A106">
        <v>-1566060422</v>
      </c>
      <c r="B106" t="s">
        <v>400</v>
      </c>
      <c r="G106">
        <v>41</v>
      </c>
      <c r="H106" t="s">
        <v>29</v>
      </c>
      <c r="I106">
        <v>1040</v>
      </c>
      <c r="J106">
        <v>1039.4000000000001</v>
      </c>
      <c r="L106" t="s">
        <v>12</v>
      </c>
      <c r="M106" t="b">
        <v>0</v>
      </c>
      <c r="O106" s="1">
        <v>46189.946446759262</v>
      </c>
    </row>
    <row r="107" spans="1:15" x14ac:dyDescent="0.25">
      <c r="A107">
        <v>-1722990221</v>
      </c>
      <c r="B107" t="s">
        <v>400</v>
      </c>
      <c r="G107">
        <v>35</v>
      </c>
      <c r="H107" t="s">
        <v>36</v>
      </c>
      <c r="I107">
        <v>167</v>
      </c>
      <c r="J107">
        <v>166.1</v>
      </c>
      <c r="L107" t="s">
        <v>12</v>
      </c>
      <c r="M107" t="b">
        <v>0</v>
      </c>
      <c r="O107" s="1">
        <v>46189.946446759262</v>
      </c>
    </row>
    <row r="108" spans="1:15" x14ac:dyDescent="0.25">
      <c r="A108">
        <v>1781629509</v>
      </c>
      <c r="B108" t="s">
        <v>401</v>
      </c>
      <c r="C108" t="s">
        <v>402</v>
      </c>
      <c r="D108" t="s">
        <v>403</v>
      </c>
      <c r="E108" t="s">
        <v>364</v>
      </c>
      <c r="F108">
        <v>50</v>
      </c>
      <c r="K108" s="1">
        <v>46190.003576388888</v>
      </c>
      <c r="M108" t="b">
        <v>0</v>
      </c>
      <c r="O108" s="1">
        <v>46190.003576388888</v>
      </c>
    </row>
    <row r="109" spans="1:15" x14ac:dyDescent="0.25">
      <c r="A109">
        <v>503178274</v>
      </c>
      <c r="B109" t="s">
        <v>401</v>
      </c>
      <c r="G109">
        <v>41</v>
      </c>
      <c r="H109" t="s">
        <v>29</v>
      </c>
      <c r="I109">
        <v>186</v>
      </c>
      <c r="J109">
        <v>187.7</v>
      </c>
      <c r="L109" t="s">
        <v>12</v>
      </c>
      <c r="M109" t="b">
        <v>0</v>
      </c>
      <c r="O109" s="1">
        <v>46190.003576388888</v>
      </c>
    </row>
    <row r="110" spans="1:15" x14ac:dyDescent="0.25">
      <c r="A110">
        <v>1058514427</v>
      </c>
      <c r="B110" t="s">
        <v>401</v>
      </c>
      <c r="G110">
        <v>59</v>
      </c>
      <c r="H110" t="s">
        <v>31</v>
      </c>
      <c r="I110">
        <v>10.7</v>
      </c>
      <c r="J110">
        <v>10.78</v>
      </c>
      <c r="L110" t="s">
        <v>12</v>
      </c>
      <c r="M110" t="b">
        <v>0</v>
      </c>
      <c r="O110" s="1">
        <v>46190.003576388888</v>
      </c>
    </row>
    <row r="111" spans="1:15" x14ac:dyDescent="0.25">
      <c r="A111">
        <v>772255520</v>
      </c>
      <c r="B111" t="s">
        <v>401</v>
      </c>
      <c r="G111">
        <v>35</v>
      </c>
      <c r="H111" t="s">
        <v>36</v>
      </c>
      <c r="I111">
        <v>21.55</v>
      </c>
      <c r="J111">
        <v>21.48</v>
      </c>
      <c r="L111" t="s">
        <v>12</v>
      </c>
      <c r="M111" t="b">
        <v>0</v>
      </c>
      <c r="O111" s="1">
        <v>46190.003576388888</v>
      </c>
    </row>
    <row r="112" spans="1:15" x14ac:dyDescent="0.25">
      <c r="A112">
        <v>649103521</v>
      </c>
      <c r="B112" t="s">
        <v>401</v>
      </c>
      <c r="G112">
        <v>44</v>
      </c>
      <c r="H112" t="s">
        <v>16</v>
      </c>
      <c r="I112">
        <v>7.15</v>
      </c>
      <c r="J112">
        <v>7.13</v>
      </c>
      <c r="L112" t="s">
        <v>12</v>
      </c>
      <c r="M112" t="b">
        <v>0</v>
      </c>
      <c r="O112" s="1">
        <v>46190.003576388888</v>
      </c>
    </row>
    <row r="113" spans="1:15" x14ac:dyDescent="0.25">
      <c r="A113">
        <v>1781632700</v>
      </c>
      <c r="B113" t="s">
        <v>404</v>
      </c>
      <c r="C113" t="s">
        <v>382</v>
      </c>
      <c r="D113" t="s">
        <v>383</v>
      </c>
      <c r="E113" t="s">
        <v>364</v>
      </c>
      <c r="F113">
        <v>430</v>
      </c>
      <c r="K113" s="1">
        <v>46190.040497685186</v>
      </c>
      <c r="M113" t="b">
        <v>0</v>
      </c>
      <c r="O113" s="1">
        <v>46190.040497685186</v>
      </c>
    </row>
    <row r="114" spans="1:15" x14ac:dyDescent="0.25">
      <c r="A114">
        <v>871563021</v>
      </c>
      <c r="B114" t="s">
        <v>404</v>
      </c>
      <c r="G114">
        <v>41</v>
      </c>
      <c r="H114" t="s">
        <v>29</v>
      </c>
      <c r="I114">
        <v>8944</v>
      </c>
      <c r="J114">
        <v>9021.2999999999993</v>
      </c>
      <c r="L114" t="s">
        <v>12</v>
      </c>
      <c r="M114" t="b">
        <v>0</v>
      </c>
      <c r="O114" s="1">
        <v>46190.040497685186</v>
      </c>
    </row>
    <row r="115" spans="1:15" x14ac:dyDescent="0.25">
      <c r="A115">
        <v>-1256422582</v>
      </c>
      <c r="B115" t="s">
        <v>404</v>
      </c>
      <c r="G115">
        <v>35</v>
      </c>
      <c r="H115" t="s">
        <v>36</v>
      </c>
      <c r="I115">
        <v>1436.2</v>
      </c>
      <c r="J115">
        <v>1448.5</v>
      </c>
      <c r="L115" t="s">
        <v>12</v>
      </c>
      <c r="M115" t="b">
        <v>0</v>
      </c>
      <c r="O115" s="1">
        <v>46190.040497685186</v>
      </c>
    </row>
    <row r="116" spans="1:15" x14ac:dyDescent="0.25">
      <c r="A116">
        <v>1781634272</v>
      </c>
      <c r="B116" t="s">
        <v>405</v>
      </c>
      <c r="C116" t="s">
        <v>406</v>
      </c>
      <c r="D116" t="s">
        <v>407</v>
      </c>
      <c r="E116" t="s">
        <v>336</v>
      </c>
      <c r="F116">
        <v>50</v>
      </c>
      <c r="K116" s="1">
        <v>46190.058703703704</v>
      </c>
      <c r="M116" t="b">
        <v>0</v>
      </c>
      <c r="O116" s="1">
        <v>46190.058703703704</v>
      </c>
    </row>
    <row r="117" spans="1:15" x14ac:dyDescent="0.25">
      <c r="A117">
        <v>242772833</v>
      </c>
      <c r="B117" t="s">
        <v>405</v>
      </c>
      <c r="H117" t="s">
        <v>29</v>
      </c>
      <c r="I117">
        <v>217.5</v>
      </c>
      <c r="J117">
        <v>216.1</v>
      </c>
      <c r="L117" t="s">
        <v>12</v>
      </c>
      <c r="M117" t="b">
        <v>0</v>
      </c>
      <c r="O117" s="1">
        <v>46190.058703703704</v>
      </c>
    </row>
    <row r="118" spans="1:15" x14ac:dyDescent="0.25">
      <c r="A118">
        <v>1860437518</v>
      </c>
      <c r="B118" t="s">
        <v>405</v>
      </c>
      <c r="G118">
        <v>58</v>
      </c>
      <c r="H118" t="s">
        <v>32</v>
      </c>
      <c r="I118">
        <v>325</v>
      </c>
      <c r="J118">
        <v>325.39999999999998</v>
      </c>
      <c r="L118" t="s">
        <v>12</v>
      </c>
      <c r="M118" t="b">
        <v>0</v>
      </c>
      <c r="O118" s="1">
        <v>46190.058703703704</v>
      </c>
    </row>
    <row r="119" spans="1:15" x14ac:dyDescent="0.25">
      <c r="A119">
        <v>419800183</v>
      </c>
      <c r="B119" t="s">
        <v>405</v>
      </c>
      <c r="G119">
        <v>35</v>
      </c>
      <c r="H119" t="s">
        <v>36</v>
      </c>
      <c r="I119">
        <v>83.75</v>
      </c>
      <c r="J119">
        <v>83.5</v>
      </c>
      <c r="L119" t="s">
        <v>12</v>
      </c>
      <c r="M119" t="b">
        <v>0</v>
      </c>
      <c r="O119" s="1">
        <v>46190.058703703704</v>
      </c>
    </row>
    <row r="120" spans="1:15" x14ac:dyDescent="0.25">
      <c r="A120">
        <v>-2105486612</v>
      </c>
      <c r="B120" t="s">
        <v>405</v>
      </c>
      <c r="G120">
        <v>16</v>
      </c>
      <c r="H120" t="s">
        <v>13</v>
      </c>
      <c r="I120">
        <v>41</v>
      </c>
      <c r="J120">
        <v>41.9</v>
      </c>
      <c r="L120" t="s">
        <v>15</v>
      </c>
      <c r="M120" t="b">
        <v>0</v>
      </c>
      <c r="O120" s="1">
        <v>46190.058703703704</v>
      </c>
    </row>
    <row r="121" spans="1:15" x14ac:dyDescent="0.25">
      <c r="A121">
        <v>-853206147</v>
      </c>
      <c r="B121" t="s">
        <v>405</v>
      </c>
      <c r="G121">
        <v>59</v>
      </c>
      <c r="H121" t="s">
        <v>31</v>
      </c>
      <c r="I121">
        <v>31</v>
      </c>
      <c r="J121">
        <v>31</v>
      </c>
      <c r="L121" t="s">
        <v>12</v>
      </c>
      <c r="M121" t="b">
        <v>0</v>
      </c>
      <c r="O121" s="1">
        <v>46190.058703703704</v>
      </c>
    </row>
    <row r="122" spans="1:15" x14ac:dyDescent="0.25">
      <c r="A122">
        <v>1781638886</v>
      </c>
      <c r="B122" t="s">
        <v>408</v>
      </c>
      <c r="C122" t="s">
        <v>409</v>
      </c>
      <c r="D122" t="s">
        <v>410</v>
      </c>
      <c r="E122" t="s">
        <v>336</v>
      </c>
      <c r="F122">
        <v>100</v>
      </c>
      <c r="K122" s="1">
        <v>46190.11210648148</v>
      </c>
      <c r="M122" t="b">
        <v>0</v>
      </c>
      <c r="O122" s="1">
        <v>46190.11210648148</v>
      </c>
    </row>
    <row r="123" spans="1:15" x14ac:dyDescent="0.25">
      <c r="A123">
        <v>36502127</v>
      </c>
      <c r="B123" t="s">
        <v>408</v>
      </c>
      <c r="G123">
        <v>41</v>
      </c>
      <c r="H123" t="s">
        <v>29</v>
      </c>
      <c r="I123">
        <v>1250</v>
      </c>
      <c r="J123">
        <v>1247.8</v>
      </c>
      <c r="L123" t="s">
        <v>12</v>
      </c>
      <c r="M123" t="b">
        <v>0</v>
      </c>
      <c r="O123" s="1">
        <v>46190.11210648148</v>
      </c>
    </row>
    <row r="124" spans="1:15" x14ac:dyDescent="0.25">
      <c r="A124">
        <v>2074591108</v>
      </c>
      <c r="B124" t="s">
        <v>408</v>
      </c>
      <c r="G124">
        <v>35</v>
      </c>
      <c r="H124" t="s">
        <v>36</v>
      </c>
      <c r="I124">
        <v>17</v>
      </c>
      <c r="L124" t="s">
        <v>15</v>
      </c>
      <c r="M124" t="b">
        <v>0</v>
      </c>
      <c r="O124" s="1">
        <v>46190.11210648148</v>
      </c>
    </row>
    <row r="125" spans="1:15" x14ac:dyDescent="0.25">
      <c r="A125">
        <v>-1081261515</v>
      </c>
      <c r="B125" t="s">
        <v>408</v>
      </c>
      <c r="G125">
        <v>44</v>
      </c>
      <c r="H125" t="s">
        <v>16</v>
      </c>
      <c r="I125">
        <v>15</v>
      </c>
      <c r="L125" t="s">
        <v>15</v>
      </c>
      <c r="M125" t="b">
        <v>0</v>
      </c>
      <c r="O125" s="1">
        <v>46190.11210648148</v>
      </c>
    </row>
    <row r="126" spans="1:15" x14ac:dyDescent="0.25">
      <c r="A126">
        <v>1781647669</v>
      </c>
      <c r="B126" t="s">
        <v>411</v>
      </c>
      <c r="C126" t="s">
        <v>345</v>
      </c>
      <c r="D126" t="s">
        <v>371</v>
      </c>
      <c r="E126" t="s">
        <v>340</v>
      </c>
      <c r="F126">
        <v>50</v>
      </c>
      <c r="K126" s="1">
        <v>46190.213761574072</v>
      </c>
      <c r="M126" t="b">
        <v>0</v>
      </c>
      <c r="O126" s="1">
        <v>46190.213761574072</v>
      </c>
    </row>
    <row r="127" spans="1:15" x14ac:dyDescent="0.25">
      <c r="A127">
        <v>1774582866</v>
      </c>
      <c r="B127" t="s">
        <v>411</v>
      </c>
      <c r="G127">
        <v>41</v>
      </c>
      <c r="H127" t="s">
        <v>29</v>
      </c>
      <c r="I127">
        <v>225</v>
      </c>
      <c r="J127">
        <v>226.9</v>
      </c>
      <c r="L127" t="s">
        <v>12</v>
      </c>
      <c r="M127" t="b">
        <v>0</v>
      </c>
      <c r="O127" s="1">
        <v>46190.213761574072</v>
      </c>
    </row>
    <row r="128" spans="1:15" x14ac:dyDescent="0.25">
      <c r="A128">
        <v>1929315947</v>
      </c>
      <c r="B128" t="s">
        <v>411</v>
      </c>
      <c r="G128">
        <v>35</v>
      </c>
      <c r="H128" t="s">
        <v>36</v>
      </c>
      <c r="I128">
        <v>30</v>
      </c>
      <c r="J128">
        <v>29.9</v>
      </c>
      <c r="L128" t="s">
        <v>12</v>
      </c>
      <c r="M128" t="b">
        <v>0</v>
      </c>
      <c r="O128" s="1">
        <v>46190.213761574072</v>
      </c>
    </row>
    <row r="129" spans="1:15" x14ac:dyDescent="0.25">
      <c r="A129">
        <v>441991888</v>
      </c>
      <c r="B129" t="s">
        <v>411</v>
      </c>
      <c r="G129">
        <v>44</v>
      </c>
      <c r="H129" t="s">
        <v>16</v>
      </c>
      <c r="I129">
        <v>14</v>
      </c>
      <c r="J129">
        <v>14.1</v>
      </c>
      <c r="L129" t="s">
        <v>12</v>
      </c>
      <c r="M129" t="b">
        <v>0</v>
      </c>
      <c r="O129" s="1">
        <v>46190.213761574072</v>
      </c>
    </row>
    <row r="130" spans="1:15" x14ac:dyDescent="0.25">
      <c r="A130">
        <v>1781661888</v>
      </c>
      <c r="B130" t="s">
        <v>412</v>
      </c>
      <c r="C130" t="s">
        <v>395</v>
      </c>
      <c r="D130" t="s">
        <v>396</v>
      </c>
      <c r="E130" t="s">
        <v>336</v>
      </c>
      <c r="F130">
        <v>50</v>
      </c>
      <c r="K130" s="1">
        <v>46190.378321759257</v>
      </c>
      <c r="M130" t="b">
        <v>0</v>
      </c>
      <c r="O130" s="1">
        <v>46190.378321759257</v>
      </c>
    </row>
    <row r="131" spans="1:15" x14ac:dyDescent="0.25">
      <c r="A131">
        <v>125215169</v>
      </c>
      <c r="B131" t="s">
        <v>412</v>
      </c>
      <c r="G131">
        <v>41</v>
      </c>
      <c r="H131" t="s">
        <v>29</v>
      </c>
      <c r="I131">
        <v>245</v>
      </c>
      <c r="J131">
        <v>243.18</v>
      </c>
      <c r="L131" t="s">
        <v>12</v>
      </c>
      <c r="M131" t="b">
        <v>0</v>
      </c>
      <c r="O131" s="1">
        <v>46190.378321759257</v>
      </c>
    </row>
    <row r="132" spans="1:15" x14ac:dyDescent="0.25">
      <c r="A132">
        <v>1349375214</v>
      </c>
      <c r="B132" t="s">
        <v>412</v>
      </c>
      <c r="G132">
        <v>11</v>
      </c>
      <c r="H132" t="s">
        <v>33</v>
      </c>
      <c r="I132">
        <v>9</v>
      </c>
      <c r="J132">
        <v>9.02</v>
      </c>
      <c r="L132" t="s">
        <v>12</v>
      </c>
      <c r="M132" t="b">
        <v>0</v>
      </c>
      <c r="O132" s="1">
        <v>46190.378321759257</v>
      </c>
    </row>
    <row r="133" spans="1:15" x14ac:dyDescent="0.25">
      <c r="A133">
        <v>-434355753</v>
      </c>
      <c r="B133" t="s">
        <v>412</v>
      </c>
      <c r="G133">
        <v>68</v>
      </c>
      <c r="H133" t="s">
        <v>14</v>
      </c>
      <c r="I133">
        <v>38</v>
      </c>
      <c r="J133">
        <v>37.68</v>
      </c>
      <c r="L133" t="s">
        <v>12</v>
      </c>
      <c r="M133" t="b">
        <v>0</v>
      </c>
      <c r="O133" s="1">
        <v>46190.378321759257</v>
      </c>
    </row>
    <row r="134" spans="1:15" x14ac:dyDescent="0.25">
      <c r="A134">
        <v>1490992332</v>
      </c>
      <c r="B134" t="s">
        <v>412</v>
      </c>
      <c r="G134">
        <v>59</v>
      </c>
      <c r="H134" t="s">
        <v>31</v>
      </c>
      <c r="I134">
        <v>25</v>
      </c>
      <c r="J134">
        <v>24.94</v>
      </c>
      <c r="L134" t="s">
        <v>12</v>
      </c>
      <c r="M134" t="b">
        <v>0</v>
      </c>
      <c r="O134" s="1">
        <v>46190.378321759257</v>
      </c>
    </row>
    <row r="135" spans="1:15" x14ac:dyDescent="0.25">
      <c r="A135">
        <v>1781666833</v>
      </c>
      <c r="B135" t="s">
        <v>413</v>
      </c>
      <c r="C135" t="s">
        <v>385</v>
      </c>
      <c r="D135" t="s">
        <v>414</v>
      </c>
      <c r="E135" t="s">
        <v>340</v>
      </c>
      <c r="F135">
        <v>250</v>
      </c>
      <c r="K135" s="1">
        <v>46190.435567129629</v>
      </c>
      <c r="M135" t="b">
        <v>0</v>
      </c>
      <c r="O135" s="1">
        <v>46190.435567129629</v>
      </c>
    </row>
    <row r="136" spans="1:15" x14ac:dyDescent="0.25">
      <c r="A136">
        <v>404016382</v>
      </c>
      <c r="B136" t="s">
        <v>413</v>
      </c>
      <c r="G136">
        <v>27</v>
      </c>
      <c r="H136" t="s">
        <v>143</v>
      </c>
      <c r="I136">
        <v>1160</v>
      </c>
      <c r="J136">
        <v>1168.3</v>
      </c>
      <c r="L136" t="s">
        <v>12</v>
      </c>
      <c r="M136" t="b">
        <v>0</v>
      </c>
      <c r="O136" s="1">
        <v>46190.435567129629</v>
      </c>
    </row>
    <row r="137" spans="1:15" x14ac:dyDescent="0.25">
      <c r="A137">
        <v>-1252770649</v>
      </c>
      <c r="B137" t="s">
        <v>413</v>
      </c>
      <c r="G137">
        <v>57</v>
      </c>
      <c r="H137" t="s">
        <v>17</v>
      </c>
      <c r="I137">
        <v>605.5</v>
      </c>
      <c r="J137">
        <v>607.29999999999995</v>
      </c>
      <c r="L137" t="s">
        <v>12</v>
      </c>
      <c r="M137" t="b">
        <v>0</v>
      </c>
      <c r="O137" s="1">
        <v>46190.435567129629</v>
      </c>
    </row>
    <row r="138" spans="1:15" x14ac:dyDescent="0.25">
      <c r="A138">
        <v>-1257458852</v>
      </c>
      <c r="B138" t="s">
        <v>413</v>
      </c>
      <c r="G138">
        <v>41</v>
      </c>
      <c r="H138" t="s">
        <v>29</v>
      </c>
      <c r="I138">
        <v>2345</v>
      </c>
      <c r="J138">
        <v>2348.4</v>
      </c>
      <c r="L138" t="s">
        <v>12</v>
      </c>
      <c r="M138" t="b">
        <v>0</v>
      </c>
      <c r="O138" s="1">
        <v>46190.435567129629</v>
      </c>
    </row>
    <row r="139" spans="1:15" x14ac:dyDescent="0.25">
      <c r="A139">
        <v>1781671951</v>
      </c>
      <c r="B139" t="s">
        <v>415</v>
      </c>
      <c r="C139" t="s">
        <v>338</v>
      </c>
      <c r="D139" t="s">
        <v>416</v>
      </c>
      <c r="E139" t="s">
        <v>340</v>
      </c>
      <c r="F139">
        <v>250</v>
      </c>
      <c r="K139" s="1">
        <v>46190.494803240741</v>
      </c>
      <c r="M139" t="b">
        <v>0</v>
      </c>
      <c r="O139" s="1">
        <v>46190.494803240741</v>
      </c>
    </row>
    <row r="140" spans="1:15" x14ac:dyDescent="0.25">
      <c r="A140">
        <v>-1282505564</v>
      </c>
      <c r="B140" t="s">
        <v>415</v>
      </c>
      <c r="G140">
        <v>41</v>
      </c>
      <c r="H140" t="s">
        <v>29</v>
      </c>
      <c r="I140">
        <v>2600</v>
      </c>
      <c r="J140">
        <v>2612.1999999999998</v>
      </c>
      <c r="L140" t="s">
        <v>12</v>
      </c>
      <c r="M140" t="b">
        <v>0</v>
      </c>
      <c r="O140" s="1">
        <v>46190.494803240741</v>
      </c>
    </row>
    <row r="141" spans="1:15" x14ac:dyDescent="0.25">
      <c r="A141">
        <v>-1875334955</v>
      </c>
      <c r="B141" t="s">
        <v>415</v>
      </c>
      <c r="G141">
        <v>35</v>
      </c>
      <c r="H141" t="s">
        <v>36</v>
      </c>
      <c r="I141">
        <v>162.5</v>
      </c>
      <c r="J141">
        <v>162.1</v>
      </c>
      <c r="L141" t="s">
        <v>12</v>
      </c>
      <c r="M141" t="b">
        <v>0</v>
      </c>
      <c r="O141" s="1">
        <v>46190.494803240741</v>
      </c>
    </row>
    <row r="142" spans="1:15" x14ac:dyDescent="0.25">
      <c r="A142">
        <v>233114482</v>
      </c>
      <c r="B142" t="s">
        <v>415</v>
      </c>
      <c r="G142">
        <v>44</v>
      </c>
      <c r="H142" t="s">
        <v>16</v>
      </c>
      <c r="I142">
        <v>6.25</v>
      </c>
      <c r="J142">
        <v>6.5</v>
      </c>
      <c r="L142" t="s">
        <v>15</v>
      </c>
      <c r="M142" t="b">
        <v>0</v>
      </c>
      <c r="O142" s="1">
        <v>46190.494803240741</v>
      </c>
    </row>
    <row r="143" spans="1:15" x14ac:dyDescent="0.25">
      <c r="A143">
        <v>1544253195</v>
      </c>
      <c r="B143" t="s">
        <v>415</v>
      </c>
      <c r="G143">
        <v>59</v>
      </c>
      <c r="H143" t="s">
        <v>31</v>
      </c>
      <c r="I143">
        <v>75</v>
      </c>
      <c r="J143">
        <v>75</v>
      </c>
      <c r="L143" t="s">
        <v>12</v>
      </c>
      <c r="M143" t="b">
        <v>0</v>
      </c>
      <c r="O143" s="1">
        <v>46190.494803240741</v>
      </c>
    </row>
    <row r="144" spans="1:15" x14ac:dyDescent="0.25">
      <c r="A144">
        <v>1781672498</v>
      </c>
      <c r="B144" t="s">
        <v>417</v>
      </c>
      <c r="C144" t="s">
        <v>395</v>
      </c>
      <c r="D144" t="s">
        <v>396</v>
      </c>
      <c r="E144" t="s">
        <v>336</v>
      </c>
      <c r="F144">
        <v>50</v>
      </c>
      <c r="K144" s="1">
        <v>46190.501134259262</v>
      </c>
      <c r="M144" t="b">
        <v>0</v>
      </c>
      <c r="O144" s="1">
        <v>46190.501134259262</v>
      </c>
    </row>
    <row r="145" spans="1:15" x14ac:dyDescent="0.25">
      <c r="A145">
        <v>-818260277</v>
      </c>
      <c r="B145" t="s">
        <v>417</v>
      </c>
      <c r="G145">
        <v>41</v>
      </c>
      <c r="H145" t="s">
        <v>29</v>
      </c>
      <c r="I145">
        <v>280</v>
      </c>
      <c r="J145">
        <v>281</v>
      </c>
      <c r="L145" t="s">
        <v>12</v>
      </c>
      <c r="M145" t="b">
        <v>0</v>
      </c>
      <c r="O145" s="1">
        <v>46190.501134259262</v>
      </c>
    </row>
    <row r="146" spans="1:15" x14ac:dyDescent="0.25">
      <c r="A146">
        <v>-755260496</v>
      </c>
      <c r="B146" t="s">
        <v>417</v>
      </c>
      <c r="G146">
        <v>11</v>
      </c>
      <c r="H146" t="s">
        <v>33</v>
      </c>
      <c r="I146">
        <v>12</v>
      </c>
      <c r="J146">
        <v>12.1</v>
      </c>
      <c r="L146" t="s">
        <v>12</v>
      </c>
      <c r="M146" t="b">
        <v>0</v>
      </c>
      <c r="O146" s="1">
        <v>46190.501134259262</v>
      </c>
    </row>
    <row r="147" spans="1:15" x14ac:dyDescent="0.25">
      <c r="A147">
        <v>-1488198159</v>
      </c>
      <c r="B147" t="s">
        <v>417</v>
      </c>
      <c r="G147">
        <v>68</v>
      </c>
      <c r="H147" t="s">
        <v>14</v>
      </c>
      <c r="I147">
        <v>38</v>
      </c>
      <c r="J147">
        <v>38.299999999999997</v>
      </c>
      <c r="L147" t="s">
        <v>12</v>
      </c>
      <c r="M147" t="b">
        <v>0</v>
      </c>
      <c r="O147" s="1">
        <v>46190.501134259262</v>
      </c>
    </row>
    <row r="148" spans="1:15" x14ac:dyDescent="0.25">
      <c r="A148">
        <v>539881822</v>
      </c>
      <c r="B148" t="s">
        <v>417</v>
      </c>
      <c r="G148">
        <v>59</v>
      </c>
      <c r="H148" t="s">
        <v>31</v>
      </c>
      <c r="I148">
        <v>30</v>
      </c>
      <c r="J148">
        <v>29.9</v>
      </c>
      <c r="L148" t="s">
        <v>12</v>
      </c>
      <c r="M148" t="b">
        <v>0</v>
      </c>
      <c r="O148" s="1">
        <v>46190.501134259262</v>
      </c>
    </row>
    <row r="149" spans="1:15" x14ac:dyDescent="0.25">
      <c r="A149">
        <v>1781676544</v>
      </c>
      <c r="B149" t="s">
        <v>418</v>
      </c>
      <c r="C149" t="s">
        <v>419</v>
      </c>
      <c r="D149" t="s">
        <v>420</v>
      </c>
      <c r="E149" t="s">
        <v>364</v>
      </c>
      <c r="F149">
        <v>450</v>
      </c>
      <c r="K149" s="1">
        <v>46190.547962962963</v>
      </c>
      <c r="M149" t="b">
        <v>0</v>
      </c>
      <c r="O149" s="1">
        <v>46190.547962962963</v>
      </c>
    </row>
    <row r="150" spans="1:15" x14ac:dyDescent="0.25">
      <c r="A150">
        <v>1257255425</v>
      </c>
      <c r="B150" t="s">
        <v>418</v>
      </c>
      <c r="G150">
        <v>41</v>
      </c>
      <c r="H150" t="s">
        <v>29</v>
      </c>
      <c r="I150">
        <v>4950</v>
      </c>
      <c r="J150">
        <v>4945.6000000000004</v>
      </c>
      <c r="L150" t="s">
        <v>12</v>
      </c>
      <c r="M150" t="b">
        <v>0</v>
      </c>
      <c r="O150" s="1">
        <v>46190.547962962963</v>
      </c>
    </row>
    <row r="151" spans="1:15" x14ac:dyDescent="0.25">
      <c r="A151">
        <v>879079470</v>
      </c>
      <c r="B151" t="s">
        <v>418</v>
      </c>
      <c r="G151">
        <v>44</v>
      </c>
      <c r="H151" t="s">
        <v>16</v>
      </c>
      <c r="I151">
        <v>49.95</v>
      </c>
      <c r="J151">
        <v>49.9</v>
      </c>
      <c r="L151" t="s">
        <v>12</v>
      </c>
      <c r="M151" t="b">
        <v>0</v>
      </c>
      <c r="O151" s="1">
        <v>46190.547962962963</v>
      </c>
    </row>
    <row r="152" spans="1:15" x14ac:dyDescent="0.25">
      <c r="A152">
        <v>933841943</v>
      </c>
      <c r="B152" t="s">
        <v>418</v>
      </c>
      <c r="G152">
        <v>35</v>
      </c>
      <c r="H152" t="s">
        <v>36</v>
      </c>
      <c r="I152">
        <v>450</v>
      </c>
      <c r="J152">
        <v>453</v>
      </c>
      <c r="L152" t="s">
        <v>12</v>
      </c>
      <c r="M152" t="b">
        <v>0</v>
      </c>
      <c r="O152" s="1">
        <v>46190.547962962963</v>
      </c>
    </row>
    <row r="153" spans="1:15" x14ac:dyDescent="0.25">
      <c r="A153">
        <v>1781678730</v>
      </c>
      <c r="B153" t="s">
        <v>421</v>
      </c>
      <c r="C153" t="s">
        <v>338</v>
      </c>
      <c r="D153" t="s">
        <v>422</v>
      </c>
      <c r="E153" t="s">
        <v>340</v>
      </c>
      <c r="F153">
        <v>120</v>
      </c>
      <c r="K153" s="1">
        <v>46190.573263888888</v>
      </c>
      <c r="M153" t="b">
        <v>0</v>
      </c>
      <c r="O153" s="1">
        <v>46190.573263888888</v>
      </c>
    </row>
    <row r="154" spans="1:15" x14ac:dyDescent="0.25">
      <c r="A154">
        <v>1126018627</v>
      </c>
      <c r="B154" t="s">
        <v>421</v>
      </c>
      <c r="G154">
        <v>41</v>
      </c>
      <c r="H154" t="s">
        <v>29</v>
      </c>
      <c r="I154">
        <v>1620</v>
      </c>
      <c r="J154">
        <v>1611.7</v>
      </c>
      <c r="L154" t="s">
        <v>12</v>
      </c>
      <c r="M154" t="b">
        <v>0</v>
      </c>
      <c r="O154" s="1">
        <v>46190.573263888888</v>
      </c>
    </row>
    <row r="155" spans="1:15" x14ac:dyDescent="0.25">
      <c r="A155">
        <v>-125316152</v>
      </c>
      <c r="B155" t="s">
        <v>421</v>
      </c>
      <c r="G155">
        <v>68</v>
      </c>
      <c r="H155" t="s">
        <v>14</v>
      </c>
      <c r="I155">
        <v>162</v>
      </c>
      <c r="J155">
        <v>162.19999999999999</v>
      </c>
      <c r="L155" t="s">
        <v>12</v>
      </c>
      <c r="M155" t="b">
        <v>0</v>
      </c>
      <c r="O155" s="1">
        <v>46190.573263888888</v>
      </c>
    </row>
    <row r="156" spans="1:15" x14ac:dyDescent="0.25">
      <c r="A156">
        <v>-1037702615</v>
      </c>
      <c r="B156" t="s">
        <v>421</v>
      </c>
      <c r="G156">
        <v>11</v>
      </c>
      <c r="H156" t="s">
        <v>33</v>
      </c>
      <c r="I156">
        <v>78</v>
      </c>
      <c r="J156">
        <v>78.2</v>
      </c>
      <c r="L156" t="s">
        <v>12</v>
      </c>
      <c r="M156" t="b">
        <v>0</v>
      </c>
      <c r="O156" s="1">
        <v>46190.573263888888</v>
      </c>
    </row>
    <row r="157" spans="1:15" x14ac:dyDescent="0.25">
      <c r="A157">
        <v>1781679425</v>
      </c>
      <c r="B157" t="s">
        <v>423</v>
      </c>
      <c r="C157" t="s">
        <v>424</v>
      </c>
      <c r="D157" t="s">
        <v>425</v>
      </c>
      <c r="E157" t="s">
        <v>336</v>
      </c>
      <c r="F157">
        <v>50</v>
      </c>
      <c r="K157" s="1">
        <v>46190.581307870372</v>
      </c>
      <c r="M157" t="b">
        <v>0</v>
      </c>
      <c r="O157" s="1">
        <v>46190.581307870372</v>
      </c>
    </row>
    <row r="158" spans="1:15" x14ac:dyDescent="0.25">
      <c r="A158">
        <v>-1605463442</v>
      </c>
      <c r="B158" t="s">
        <v>423</v>
      </c>
      <c r="G158">
        <v>41</v>
      </c>
      <c r="H158" t="s">
        <v>29</v>
      </c>
      <c r="I158">
        <v>238</v>
      </c>
      <c r="J158">
        <v>239.7</v>
      </c>
      <c r="L158" t="s">
        <v>12</v>
      </c>
      <c r="M158" t="b">
        <v>0</v>
      </c>
      <c r="O158" s="1">
        <v>46190.581307870372</v>
      </c>
    </row>
    <row r="159" spans="1:15" x14ac:dyDescent="0.25">
      <c r="A159">
        <v>-1159818921</v>
      </c>
      <c r="B159" t="s">
        <v>423</v>
      </c>
      <c r="G159">
        <v>58</v>
      </c>
      <c r="H159" t="s">
        <v>32</v>
      </c>
      <c r="I159">
        <v>160</v>
      </c>
      <c r="J159">
        <v>161</v>
      </c>
      <c r="L159" t="s">
        <v>12</v>
      </c>
      <c r="M159" t="b">
        <v>0</v>
      </c>
      <c r="O159" s="1">
        <v>46190.581307870372</v>
      </c>
    </row>
    <row r="160" spans="1:15" x14ac:dyDescent="0.25">
      <c r="A160">
        <v>-1301039540</v>
      </c>
      <c r="B160" t="s">
        <v>423</v>
      </c>
      <c r="G160">
        <v>35</v>
      </c>
      <c r="H160" t="s">
        <v>36</v>
      </c>
      <c r="I160">
        <v>39</v>
      </c>
      <c r="J160">
        <v>38.799999999999997</v>
      </c>
      <c r="L160" t="s">
        <v>12</v>
      </c>
      <c r="M160" t="b">
        <v>0</v>
      </c>
      <c r="O160" s="1">
        <v>46190.581307870372</v>
      </c>
    </row>
    <row r="161" spans="1:15" x14ac:dyDescent="0.25">
      <c r="A161">
        <v>1781679759</v>
      </c>
      <c r="B161" t="s">
        <v>426</v>
      </c>
      <c r="C161" t="s">
        <v>427</v>
      </c>
      <c r="D161" t="s">
        <v>428</v>
      </c>
      <c r="E161" t="s">
        <v>336</v>
      </c>
      <c r="F161">
        <v>50</v>
      </c>
      <c r="K161" s="1">
        <v>46190.585173611114</v>
      </c>
      <c r="M161" t="b">
        <v>0</v>
      </c>
      <c r="O161" s="1">
        <v>46190.585173611114</v>
      </c>
    </row>
    <row r="162" spans="1:15" x14ac:dyDescent="0.25">
      <c r="A162">
        <v>-285548252</v>
      </c>
      <c r="B162" t="s">
        <v>426</v>
      </c>
      <c r="G162">
        <v>41</v>
      </c>
      <c r="H162" t="s">
        <v>29</v>
      </c>
      <c r="I162">
        <v>375</v>
      </c>
      <c r="J162">
        <v>375.7</v>
      </c>
      <c r="L162" t="s">
        <v>12</v>
      </c>
      <c r="M162" t="b">
        <v>0</v>
      </c>
      <c r="O162" s="1">
        <v>46190.585173611114</v>
      </c>
    </row>
    <row r="163" spans="1:15" x14ac:dyDescent="0.25">
      <c r="A163">
        <v>-44045483</v>
      </c>
      <c r="B163" t="s">
        <v>426</v>
      </c>
      <c r="G163">
        <v>50</v>
      </c>
      <c r="H163" t="s">
        <v>157</v>
      </c>
      <c r="I163">
        <v>135</v>
      </c>
      <c r="J163">
        <v>135.19999999999999</v>
      </c>
      <c r="L163" t="s">
        <v>12</v>
      </c>
      <c r="M163" t="b">
        <v>0</v>
      </c>
      <c r="O163" s="1">
        <v>46190.585173611114</v>
      </c>
    </row>
    <row r="164" spans="1:15" x14ac:dyDescent="0.25">
      <c r="A164">
        <v>-1551189006</v>
      </c>
      <c r="B164" t="s">
        <v>426</v>
      </c>
      <c r="G164">
        <v>16</v>
      </c>
      <c r="H164" t="s">
        <v>13</v>
      </c>
      <c r="I164">
        <v>200</v>
      </c>
      <c r="J164">
        <v>198.6</v>
      </c>
      <c r="L164" t="s">
        <v>12</v>
      </c>
      <c r="M164" t="b">
        <v>0</v>
      </c>
      <c r="O164" s="1">
        <v>46190.585173611114</v>
      </c>
    </row>
    <row r="165" spans="1:15" x14ac:dyDescent="0.25">
      <c r="A165">
        <v>1781680341</v>
      </c>
      <c r="B165" t="s">
        <v>429</v>
      </c>
      <c r="C165" t="s">
        <v>430</v>
      </c>
      <c r="D165" t="s">
        <v>431</v>
      </c>
      <c r="E165" t="s">
        <v>336</v>
      </c>
      <c r="F165">
        <v>250</v>
      </c>
      <c r="K165" s="1">
        <v>46190.591898148145</v>
      </c>
      <c r="M165" t="b">
        <v>0</v>
      </c>
      <c r="O165" s="1">
        <v>46190.591898148145</v>
      </c>
    </row>
    <row r="166" spans="1:15" x14ac:dyDescent="0.25">
      <c r="A166">
        <v>-1534710926</v>
      </c>
      <c r="B166" t="s">
        <v>429</v>
      </c>
      <c r="G166">
        <v>41</v>
      </c>
      <c r="H166" t="s">
        <v>29</v>
      </c>
      <c r="I166">
        <v>2550</v>
      </c>
      <c r="J166">
        <v>979.6</v>
      </c>
      <c r="L166" t="s">
        <v>15</v>
      </c>
      <c r="M166" t="b">
        <v>0</v>
      </c>
      <c r="O166" s="1">
        <v>46190.591898148145</v>
      </c>
    </row>
    <row r="167" spans="1:15" x14ac:dyDescent="0.25">
      <c r="A167">
        <v>-1726083317</v>
      </c>
      <c r="B167" t="s">
        <v>429</v>
      </c>
      <c r="G167">
        <v>35</v>
      </c>
      <c r="H167" t="s">
        <v>36</v>
      </c>
      <c r="I167">
        <v>750</v>
      </c>
      <c r="J167">
        <v>746.5</v>
      </c>
      <c r="L167" t="s">
        <v>12</v>
      </c>
      <c r="M167" t="b">
        <v>0</v>
      </c>
      <c r="O167" s="1">
        <v>46190.591898148145</v>
      </c>
    </row>
    <row r="168" spans="1:15" x14ac:dyDescent="0.25">
      <c r="A168">
        <v>-1215527184</v>
      </c>
      <c r="B168" t="s">
        <v>429</v>
      </c>
      <c r="G168">
        <v>44</v>
      </c>
      <c r="H168" t="s">
        <v>16</v>
      </c>
      <c r="I168">
        <v>65</v>
      </c>
      <c r="J168">
        <v>64.900000000000006</v>
      </c>
      <c r="L168" t="s">
        <v>12</v>
      </c>
      <c r="M168" t="b">
        <v>0</v>
      </c>
      <c r="O168" s="1">
        <v>46190.591898148145</v>
      </c>
    </row>
    <row r="169" spans="1:15" x14ac:dyDescent="0.25">
      <c r="A169">
        <v>1781690014</v>
      </c>
      <c r="B169" t="s">
        <v>432</v>
      </c>
      <c r="C169" t="s">
        <v>430</v>
      </c>
      <c r="D169" t="s">
        <v>431</v>
      </c>
      <c r="E169" t="s">
        <v>336</v>
      </c>
      <c r="F169">
        <v>250</v>
      </c>
      <c r="K169" s="1">
        <v>46190.703865740739</v>
      </c>
      <c r="M169" t="b">
        <v>0</v>
      </c>
      <c r="O169" s="1">
        <v>46190.703865740739</v>
      </c>
    </row>
    <row r="170" spans="1:15" x14ac:dyDescent="0.25">
      <c r="A170">
        <v>197092807</v>
      </c>
      <c r="B170" t="s">
        <v>432</v>
      </c>
      <c r="G170">
        <v>41</v>
      </c>
      <c r="H170" t="s">
        <v>29</v>
      </c>
      <c r="I170">
        <v>3450</v>
      </c>
      <c r="J170">
        <v>3449.8</v>
      </c>
      <c r="L170" t="s">
        <v>12</v>
      </c>
      <c r="M170" t="b">
        <v>0</v>
      </c>
      <c r="O170" s="1">
        <v>46190.703865740739</v>
      </c>
    </row>
    <row r="171" spans="1:15" x14ac:dyDescent="0.25">
      <c r="A171">
        <v>-724193796</v>
      </c>
      <c r="B171" t="s">
        <v>432</v>
      </c>
      <c r="G171">
        <v>35</v>
      </c>
      <c r="H171" t="s">
        <v>36</v>
      </c>
      <c r="I171">
        <v>534</v>
      </c>
      <c r="J171">
        <v>530.20000000000005</v>
      </c>
      <c r="L171" t="s">
        <v>12</v>
      </c>
      <c r="M171" t="b">
        <v>0</v>
      </c>
      <c r="O171" s="1">
        <v>46190.703865740739</v>
      </c>
    </row>
    <row r="172" spans="1:15" x14ac:dyDescent="0.25">
      <c r="A172">
        <v>-153092787</v>
      </c>
      <c r="B172" t="s">
        <v>432</v>
      </c>
      <c r="G172">
        <v>44</v>
      </c>
      <c r="H172" t="s">
        <v>16</v>
      </c>
      <c r="I172">
        <v>61</v>
      </c>
      <c r="J172">
        <v>61</v>
      </c>
      <c r="L172" t="s">
        <v>12</v>
      </c>
      <c r="M172" t="b">
        <v>0</v>
      </c>
      <c r="O172" s="1">
        <v>46190.703865740739</v>
      </c>
    </row>
    <row r="173" spans="1:15" x14ac:dyDescent="0.25">
      <c r="A173">
        <v>1781692094</v>
      </c>
      <c r="B173" t="s">
        <v>433</v>
      </c>
      <c r="C173" t="s">
        <v>427</v>
      </c>
      <c r="D173" t="s">
        <v>428</v>
      </c>
      <c r="E173" t="s">
        <v>336</v>
      </c>
      <c r="F173">
        <v>50</v>
      </c>
      <c r="K173" s="1">
        <v>46190.72792824074</v>
      </c>
      <c r="M173" t="b">
        <v>0</v>
      </c>
      <c r="O173" s="1">
        <v>46190.72792824074</v>
      </c>
    </row>
    <row r="174" spans="1:15" x14ac:dyDescent="0.25">
      <c r="A174">
        <v>2064487271</v>
      </c>
      <c r="B174" t="s">
        <v>433</v>
      </c>
      <c r="G174">
        <v>41</v>
      </c>
      <c r="H174" t="s">
        <v>29</v>
      </c>
      <c r="I174">
        <v>380</v>
      </c>
      <c r="J174">
        <v>379</v>
      </c>
      <c r="L174" t="s">
        <v>12</v>
      </c>
      <c r="M174" t="b">
        <v>0</v>
      </c>
      <c r="O174" s="1">
        <v>46190.72792824074</v>
      </c>
    </row>
    <row r="175" spans="1:15" x14ac:dyDescent="0.25">
      <c r="A175">
        <v>-359566564</v>
      </c>
      <c r="B175" t="s">
        <v>433</v>
      </c>
      <c r="G175">
        <v>50</v>
      </c>
      <c r="H175" t="s">
        <v>157</v>
      </c>
      <c r="I175">
        <v>100</v>
      </c>
      <c r="J175">
        <v>99</v>
      </c>
      <c r="L175" t="s">
        <v>12</v>
      </c>
      <c r="M175" t="b">
        <v>0</v>
      </c>
      <c r="O175" s="1">
        <v>46190.72792824074</v>
      </c>
    </row>
    <row r="176" spans="1:15" x14ac:dyDescent="0.25">
      <c r="A176">
        <v>603743213</v>
      </c>
      <c r="B176" t="s">
        <v>433</v>
      </c>
      <c r="G176">
        <v>16</v>
      </c>
      <c r="H176" t="s">
        <v>13</v>
      </c>
      <c r="I176">
        <v>150</v>
      </c>
      <c r="J176">
        <v>153.19999999999999</v>
      </c>
      <c r="L176" t="s">
        <v>15</v>
      </c>
      <c r="M176" t="b">
        <v>0</v>
      </c>
      <c r="O176" s="1">
        <v>46190.72792824074</v>
      </c>
    </row>
    <row r="177" spans="1:15" x14ac:dyDescent="0.25">
      <c r="A177">
        <v>1781696385</v>
      </c>
      <c r="B177" t="s">
        <v>434</v>
      </c>
      <c r="C177" t="s">
        <v>430</v>
      </c>
      <c r="D177" t="s">
        <v>431</v>
      </c>
      <c r="E177" t="s">
        <v>336</v>
      </c>
      <c r="F177">
        <v>250</v>
      </c>
      <c r="K177" s="1">
        <v>46190.777604166666</v>
      </c>
      <c r="M177" t="b">
        <v>0</v>
      </c>
      <c r="O177" s="1">
        <v>46190.777604166666</v>
      </c>
    </row>
    <row r="178" spans="1:15" x14ac:dyDescent="0.25">
      <c r="A178">
        <v>736081838</v>
      </c>
      <c r="B178" t="s">
        <v>434</v>
      </c>
      <c r="G178">
        <v>41</v>
      </c>
      <c r="H178" t="s">
        <v>29</v>
      </c>
      <c r="I178">
        <v>3450</v>
      </c>
      <c r="L178" t="s">
        <v>15</v>
      </c>
      <c r="M178" t="b">
        <v>0</v>
      </c>
      <c r="O178" s="1">
        <v>46190.777604166666</v>
      </c>
    </row>
    <row r="179" spans="1:15" x14ac:dyDescent="0.25">
      <c r="A179">
        <v>-1160143465</v>
      </c>
      <c r="B179" t="s">
        <v>434</v>
      </c>
      <c r="G179">
        <v>35</v>
      </c>
      <c r="H179" t="s">
        <v>36</v>
      </c>
      <c r="I179">
        <v>534</v>
      </c>
      <c r="L179" t="s">
        <v>15</v>
      </c>
      <c r="M179" t="b">
        <v>0</v>
      </c>
      <c r="O179" s="1">
        <v>46190.777604166666</v>
      </c>
    </row>
    <row r="180" spans="1:15" x14ac:dyDescent="0.25">
      <c r="A180">
        <v>244735372</v>
      </c>
      <c r="B180" t="s">
        <v>434</v>
      </c>
      <c r="G180">
        <v>44</v>
      </c>
      <c r="H180" t="s">
        <v>16</v>
      </c>
      <c r="I180">
        <v>70</v>
      </c>
      <c r="L180" t="s">
        <v>15</v>
      </c>
      <c r="M180" t="b">
        <v>0</v>
      </c>
      <c r="O180" s="1">
        <v>46190.777604166666</v>
      </c>
    </row>
    <row r="181" spans="1:15" x14ac:dyDescent="0.25">
      <c r="A181">
        <v>1781696545</v>
      </c>
      <c r="B181" t="s">
        <v>435</v>
      </c>
      <c r="C181" t="s">
        <v>430</v>
      </c>
      <c r="D181" t="s">
        <v>431</v>
      </c>
      <c r="E181" t="s">
        <v>336</v>
      </c>
      <c r="F181">
        <v>250</v>
      </c>
      <c r="K181" s="1">
        <v>46190.779456018521</v>
      </c>
      <c r="M181" t="b">
        <v>0</v>
      </c>
      <c r="O181" s="1">
        <v>46190.779456018521</v>
      </c>
    </row>
    <row r="182" spans="1:15" x14ac:dyDescent="0.25">
      <c r="A182">
        <v>879727566</v>
      </c>
      <c r="B182" t="s">
        <v>435</v>
      </c>
      <c r="G182">
        <v>41</v>
      </c>
      <c r="H182" t="s">
        <v>29</v>
      </c>
      <c r="I182">
        <v>3450</v>
      </c>
      <c r="J182">
        <v>3474.9</v>
      </c>
      <c r="L182" t="s">
        <v>12</v>
      </c>
      <c r="M182" t="b">
        <v>0</v>
      </c>
      <c r="O182" s="1">
        <v>46190.779456018521</v>
      </c>
    </row>
    <row r="183" spans="1:15" x14ac:dyDescent="0.25">
      <c r="A183">
        <v>-471331017</v>
      </c>
      <c r="B183" t="s">
        <v>435</v>
      </c>
      <c r="G183">
        <v>35</v>
      </c>
      <c r="H183" t="s">
        <v>36</v>
      </c>
      <c r="I183">
        <v>534</v>
      </c>
      <c r="J183">
        <v>530</v>
      </c>
      <c r="L183" t="s">
        <v>12</v>
      </c>
      <c r="M183" t="b">
        <v>0</v>
      </c>
      <c r="O183" s="1">
        <v>46190.779456018521</v>
      </c>
    </row>
    <row r="184" spans="1:15" x14ac:dyDescent="0.25">
      <c r="A184">
        <v>-2009721172</v>
      </c>
      <c r="B184" t="s">
        <v>435</v>
      </c>
      <c r="G184">
        <v>44</v>
      </c>
      <c r="H184" t="s">
        <v>16</v>
      </c>
      <c r="I184">
        <v>70</v>
      </c>
      <c r="J184">
        <v>70.400000000000006</v>
      </c>
      <c r="L184" t="s">
        <v>12</v>
      </c>
      <c r="M184" t="b">
        <v>0</v>
      </c>
      <c r="O184" s="1">
        <v>46190.779456018521</v>
      </c>
    </row>
    <row r="185" spans="1:15" x14ac:dyDescent="0.25">
      <c r="A185">
        <v>1781699430</v>
      </c>
      <c r="B185" t="s">
        <v>436</v>
      </c>
      <c r="C185" t="s">
        <v>345</v>
      </c>
      <c r="D185" t="s">
        <v>437</v>
      </c>
      <c r="E185" t="s">
        <v>336</v>
      </c>
      <c r="F185">
        <v>50</v>
      </c>
      <c r="K185" s="1">
        <v>46190.812847222223</v>
      </c>
      <c r="M185" t="b">
        <v>0</v>
      </c>
      <c r="O185" s="1">
        <v>46190.812847222223</v>
      </c>
    </row>
    <row r="186" spans="1:15" x14ac:dyDescent="0.25">
      <c r="A186">
        <v>1993444591</v>
      </c>
      <c r="B186" t="s">
        <v>436</v>
      </c>
      <c r="G186">
        <v>41</v>
      </c>
      <c r="H186" t="s">
        <v>29</v>
      </c>
      <c r="I186">
        <v>365</v>
      </c>
      <c r="J186">
        <v>367.9</v>
      </c>
      <c r="L186" t="s">
        <v>12</v>
      </c>
      <c r="M186" t="b">
        <v>0</v>
      </c>
      <c r="O186" s="1">
        <v>46190.812847222223</v>
      </c>
    </row>
    <row r="187" spans="1:15" x14ac:dyDescent="0.25">
      <c r="A187">
        <v>-130777084</v>
      </c>
      <c r="B187" t="s">
        <v>436</v>
      </c>
      <c r="G187">
        <v>35</v>
      </c>
      <c r="H187" t="s">
        <v>36</v>
      </c>
      <c r="I187">
        <v>34</v>
      </c>
      <c r="J187">
        <v>34.200000000000003</v>
      </c>
      <c r="L187" t="s">
        <v>12</v>
      </c>
      <c r="M187" t="b">
        <v>0</v>
      </c>
      <c r="O187" s="1">
        <v>46190.812847222223</v>
      </c>
    </row>
    <row r="188" spans="1:15" x14ac:dyDescent="0.25">
      <c r="A188">
        <v>-1187112779</v>
      </c>
      <c r="B188" t="s">
        <v>436</v>
      </c>
      <c r="G188">
        <v>44</v>
      </c>
      <c r="H188" t="s">
        <v>16</v>
      </c>
      <c r="I188">
        <v>24</v>
      </c>
      <c r="J188">
        <v>24.3</v>
      </c>
      <c r="L188" t="s">
        <v>15</v>
      </c>
      <c r="M188" t="b">
        <v>0</v>
      </c>
      <c r="O188" s="1">
        <v>46190.812847222223</v>
      </c>
    </row>
    <row r="189" spans="1:15" x14ac:dyDescent="0.25">
      <c r="A189">
        <v>1781700631</v>
      </c>
      <c r="B189" t="s">
        <v>438</v>
      </c>
      <c r="C189" t="s">
        <v>439</v>
      </c>
      <c r="D189" t="s">
        <v>440</v>
      </c>
      <c r="E189" t="s">
        <v>336</v>
      </c>
      <c r="F189">
        <v>50</v>
      </c>
      <c r="K189" s="1">
        <v>46190.826747685183</v>
      </c>
      <c r="M189" t="b">
        <v>0</v>
      </c>
      <c r="O189" s="1">
        <v>46190.826747685183</v>
      </c>
    </row>
    <row r="190" spans="1:15" x14ac:dyDescent="0.25">
      <c r="A190">
        <v>-230070772</v>
      </c>
      <c r="B190" t="s">
        <v>438</v>
      </c>
      <c r="G190">
        <v>41</v>
      </c>
      <c r="H190" t="s">
        <v>29</v>
      </c>
      <c r="I190">
        <v>250</v>
      </c>
      <c r="J190">
        <v>250.92</v>
      </c>
      <c r="L190" t="s">
        <v>12</v>
      </c>
      <c r="M190" t="b">
        <v>0</v>
      </c>
      <c r="O190" s="1">
        <v>46190.826747685183</v>
      </c>
    </row>
    <row r="191" spans="1:15" x14ac:dyDescent="0.25">
      <c r="A191">
        <v>-812271587</v>
      </c>
      <c r="B191" t="s">
        <v>438</v>
      </c>
      <c r="G191">
        <v>70</v>
      </c>
      <c r="H191" t="s">
        <v>167</v>
      </c>
      <c r="I191">
        <v>34</v>
      </c>
      <c r="J191">
        <v>34.31</v>
      </c>
      <c r="L191" t="s">
        <v>12</v>
      </c>
      <c r="M191" t="b">
        <v>0</v>
      </c>
      <c r="O191" s="1">
        <v>46190.826747685183</v>
      </c>
    </row>
    <row r="192" spans="1:15" x14ac:dyDescent="0.25">
      <c r="A192">
        <v>922446618</v>
      </c>
      <c r="B192" t="s">
        <v>438</v>
      </c>
      <c r="G192">
        <v>44</v>
      </c>
      <c r="H192" t="s">
        <v>16</v>
      </c>
      <c r="I192">
        <v>5</v>
      </c>
      <c r="J192">
        <v>5.01</v>
      </c>
      <c r="L192" t="s">
        <v>12</v>
      </c>
      <c r="M192" t="b">
        <v>0</v>
      </c>
      <c r="O192" s="1">
        <v>46190.826747685183</v>
      </c>
    </row>
    <row r="193" spans="1:15" x14ac:dyDescent="0.25">
      <c r="A193">
        <v>1781701899</v>
      </c>
      <c r="B193" t="s">
        <v>441</v>
      </c>
      <c r="C193" t="s">
        <v>342</v>
      </c>
      <c r="D193" t="s">
        <v>442</v>
      </c>
      <c r="E193" t="s">
        <v>336</v>
      </c>
      <c r="F193">
        <v>340</v>
      </c>
      <c r="K193" s="1">
        <v>46190.841412037036</v>
      </c>
      <c r="M193" t="b">
        <v>0</v>
      </c>
      <c r="O193" s="1">
        <v>46190.841412037036</v>
      </c>
    </row>
    <row r="194" spans="1:15" x14ac:dyDescent="0.25">
      <c r="A194">
        <v>1874689264</v>
      </c>
      <c r="B194" t="s">
        <v>441</v>
      </c>
      <c r="G194">
        <v>41</v>
      </c>
      <c r="H194" t="s">
        <v>29</v>
      </c>
      <c r="I194">
        <v>8160</v>
      </c>
      <c r="J194">
        <v>8160.3</v>
      </c>
      <c r="L194" t="s">
        <v>12</v>
      </c>
      <c r="M194" t="b">
        <v>0</v>
      </c>
      <c r="O194" s="1">
        <v>46190.841412037036</v>
      </c>
    </row>
    <row r="195" spans="1:15" x14ac:dyDescent="0.25">
      <c r="A195">
        <v>1854838321</v>
      </c>
      <c r="B195" t="s">
        <v>441</v>
      </c>
      <c r="G195">
        <v>35</v>
      </c>
      <c r="H195" t="s">
        <v>36</v>
      </c>
      <c r="I195">
        <v>1360</v>
      </c>
      <c r="J195">
        <v>1362.4</v>
      </c>
      <c r="L195" t="s">
        <v>12</v>
      </c>
      <c r="M195" t="b">
        <v>0</v>
      </c>
      <c r="O195" s="1">
        <v>46190.841412037036</v>
      </c>
    </row>
    <row r="196" spans="1:15" x14ac:dyDescent="0.25">
      <c r="A196">
        <v>-515871586</v>
      </c>
      <c r="B196" t="s">
        <v>441</v>
      </c>
      <c r="G196">
        <v>44</v>
      </c>
      <c r="H196" t="s">
        <v>16</v>
      </c>
      <c r="I196">
        <v>292.39999999999998</v>
      </c>
      <c r="J196">
        <v>291.2</v>
      </c>
      <c r="L196" t="s">
        <v>12</v>
      </c>
      <c r="M196" t="b">
        <v>0</v>
      </c>
      <c r="O196" s="1">
        <v>46190.841412037036</v>
      </c>
    </row>
    <row r="197" spans="1:15" x14ac:dyDescent="0.25">
      <c r="A197">
        <v>1781705979</v>
      </c>
      <c r="B197" t="s">
        <v>443</v>
      </c>
      <c r="C197" t="s">
        <v>444</v>
      </c>
      <c r="D197" t="s">
        <v>445</v>
      </c>
      <c r="E197" t="s">
        <v>340</v>
      </c>
      <c r="F197">
        <v>250</v>
      </c>
      <c r="K197" s="1">
        <v>46190.888645833336</v>
      </c>
      <c r="M197" t="b">
        <v>0</v>
      </c>
      <c r="O197" s="1">
        <v>46190.888645833336</v>
      </c>
    </row>
    <row r="198" spans="1:15" x14ac:dyDescent="0.25">
      <c r="A198">
        <v>-904795616</v>
      </c>
      <c r="B198" t="s">
        <v>443</v>
      </c>
      <c r="G198">
        <v>41</v>
      </c>
      <c r="H198" t="s">
        <v>29</v>
      </c>
      <c r="I198">
        <v>2300</v>
      </c>
      <c r="J198">
        <v>2305.1999999999998</v>
      </c>
      <c r="L198" t="s">
        <v>12</v>
      </c>
      <c r="M198" t="b">
        <v>0</v>
      </c>
      <c r="O198" s="1">
        <v>46190.888645833336</v>
      </c>
    </row>
    <row r="199" spans="1:15" x14ac:dyDescent="0.25">
      <c r="A199">
        <v>-2055280735</v>
      </c>
      <c r="B199" t="s">
        <v>443</v>
      </c>
      <c r="G199">
        <v>34</v>
      </c>
      <c r="H199" t="s">
        <v>18</v>
      </c>
      <c r="I199">
        <v>135</v>
      </c>
      <c r="J199">
        <v>136.19999999999999</v>
      </c>
      <c r="L199" t="s">
        <v>12</v>
      </c>
      <c r="M199" t="b">
        <v>0</v>
      </c>
      <c r="O199" s="1">
        <v>46190.888645833336</v>
      </c>
    </row>
    <row r="200" spans="1:15" x14ac:dyDescent="0.25">
      <c r="A200">
        <v>1781710378</v>
      </c>
      <c r="B200" t="s">
        <v>446</v>
      </c>
      <c r="C200" t="s">
        <v>447</v>
      </c>
      <c r="D200" t="s">
        <v>448</v>
      </c>
      <c r="E200" t="s">
        <v>336</v>
      </c>
      <c r="F200">
        <v>50</v>
      </c>
      <c r="K200" s="1">
        <v>46190.939560185187</v>
      </c>
      <c r="M200" t="b">
        <v>0</v>
      </c>
      <c r="O200" s="1">
        <v>46190.939560185187</v>
      </c>
    </row>
    <row r="201" spans="1:15" x14ac:dyDescent="0.25">
      <c r="A201">
        <v>2051352931</v>
      </c>
      <c r="B201" t="s">
        <v>446</v>
      </c>
      <c r="G201">
        <v>41</v>
      </c>
      <c r="H201" t="s">
        <v>29</v>
      </c>
      <c r="I201">
        <v>320</v>
      </c>
      <c r="J201">
        <v>319.02999999999997</v>
      </c>
      <c r="L201" t="s">
        <v>12</v>
      </c>
      <c r="M201" t="b">
        <v>0</v>
      </c>
      <c r="O201" s="1">
        <v>46190.939560185187</v>
      </c>
    </row>
    <row r="202" spans="1:15" x14ac:dyDescent="0.25">
      <c r="A202">
        <v>1259812968</v>
      </c>
      <c r="B202" t="s">
        <v>446</v>
      </c>
      <c r="G202">
        <v>68</v>
      </c>
      <c r="H202" t="s">
        <v>14</v>
      </c>
      <c r="I202">
        <v>70</v>
      </c>
      <c r="J202">
        <v>69.64</v>
      </c>
      <c r="L202" t="s">
        <v>12</v>
      </c>
      <c r="M202" t="b">
        <v>0</v>
      </c>
      <c r="O202" s="1">
        <v>46190.939560185187</v>
      </c>
    </row>
    <row r="203" spans="1:15" x14ac:dyDescent="0.25">
      <c r="A203">
        <v>1781719318</v>
      </c>
      <c r="B203" t="s">
        <v>449</v>
      </c>
      <c r="C203" t="s">
        <v>430</v>
      </c>
      <c r="D203" t="s">
        <v>431</v>
      </c>
      <c r="E203" t="s">
        <v>340</v>
      </c>
      <c r="F203">
        <v>120</v>
      </c>
      <c r="K203" s="1">
        <v>46191.043032407404</v>
      </c>
      <c r="M203" t="b">
        <v>0</v>
      </c>
      <c r="O203" s="1">
        <v>46191.043032407404</v>
      </c>
    </row>
    <row r="204" spans="1:15" x14ac:dyDescent="0.25">
      <c r="A204">
        <v>-1196731169</v>
      </c>
      <c r="B204" t="s">
        <v>449</v>
      </c>
      <c r="G204">
        <v>41</v>
      </c>
      <c r="H204" t="s">
        <v>29</v>
      </c>
      <c r="I204">
        <v>1656</v>
      </c>
      <c r="J204">
        <v>1653.4</v>
      </c>
      <c r="L204" t="s">
        <v>12</v>
      </c>
      <c r="M204" t="b">
        <v>0</v>
      </c>
      <c r="O204" s="1">
        <v>46191.043032407404</v>
      </c>
    </row>
    <row r="205" spans="1:15" x14ac:dyDescent="0.25">
      <c r="A205">
        <v>-2128722636</v>
      </c>
      <c r="B205" t="s">
        <v>449</v>
      </c>
      <c r="G205">
        <v>35</v>
      </c>
      <c r="H205" t="s">
        <v>36</v>
      </c>
      <c r="I205">
        <v>230.4</v>
      </c>
      <c r="J205">
        <v>231.2</v>
      </c>
      <c r="L205" t="s">
        <v>12</v>
      </c>
      <c r="M205" t="b">
        <v>0</v>
      </c>
      <c r="O205" s="1">
        <v>46191.043032407404</v>
      </c>
    </row>
    <row r="206" spans="1:15" x14ac:dyDescent="0.25">
      <c r="A206">
        <v>763290149</v>
      </c>
      <c r="B206" t="s">
        <v>449</v>
      </c>
      <c r="G206">
        <v>44</v>
      </c>
      <c r="H206" t="s">
        <v>16</v>
      </c>
      <c r="I206">
        <v>33.6</v>
      </c>
      <c r="J206">
        <v>33.5</v>
      </c>
      <c r="L206" t="s">
        <v>12</v>
      </c>
      <c r="M206" t="b">
        <v>0</v>
      </c>
      <c r="O206" s="1">
        <v>46191.043032407404</v>
      </c>
    </row>
    <row r="207" spans="1:15" x14ac:dyDescent="0.25">
      <c r="A207">
        <v>1781731829</v>
      </c>
      <c r="B207" t="s">
        <v>450</v>
      </c>
      <c r="C207" t="s">
        <v>409</v>
      </c>
      <c r="D207" t="s">
        <v>410</v>
      </c>
      <c r="E207" t="s">
        <v>336</v>
      </c>
      <c r="F207">
        <v>50</v>
      </c>
      <c r="K207" s="1">
        <v>46191.187835648147</v>
      </c>
      <c r="M207" t="b">
        <v>0</v>
      </c>
      <c r="O207" s="1">
        <v>46191.187835648147</v>
      </c>
    </row>
    <row r="208" spans="1:15" x14ac:dyDescent="0.25">
      <c r="A208">
        <v>22824466</v>
      </c>
      <c r="B208" t="s">
        <v>450</v>
      </c>
      <c r="G208">
        <v>41</v>
      </c>
      <c r="H208" t="s">
        <v>29</v>
      </c>
      <c r="I208">
        <v>100</v>
      </c>
      <c r="J208">
        <v>100.69</v>
      </c>
      <c r="L208" t="s">
        <v>12</v>
      </c>
      <c r="M208" t="b">
        <v>0</v>
      </c>
      <c r="O208" s="1">
        <v>46191.187835648147</v>
      </c>
    </row>
    <row r="209" spans="1:15" x14ac:dyDescent="0.25">
      <c r="A209">
        <v>-827556565</v>
      </c>
      <c r="B209" t="s">
        <v>450</v>
      </c>
      <c r="G209">
        <v>35</v>
      </c>
      <c r="H209" t="s">
        <v>36</v>
      </c>
      <c r="I209">
        <v>1</v>
      </c>
      <c r="J209">
        <v>1.01</v>
      </c>
      <c r="L209" t="s">
        <v>15</v>
      </c>
      <c r="M209" t="b">
        <v>0</v>
      </c>
      <c r="O209" s="1">
        <v>46191.187835648147</v>
      </c>
    </row>
    <row r="210" spans="1:15" x14ac:dyDescent="0.25">
      <c r="A210">
        <v>8823440</v>
      </c>
      <c r="B210" t="s">
        <v>450</v>
      </c>
      <c r="G210">
        <v>44</v>
      </c>
      <c r="H210" t="s">
        <v>16</v>
      </c>
      <c r="I210">
        <v>1</v>
      </c>
      <c r="J210">
        <v>1.06</v>
      </c>
      <c r="L210" t="s">
        <v>15</v>
      </c>
      <c r="M210" t="b">
        <v>0</v>
      </c>
      <c r="O210" s="1">
        <v>46191.187835648147</v>
      </c>
    </row>
    <row r="211" spans="1:15" x14ac:dyDescent="0.25">
      <c r="A211">
        <v>1781743353</v>
      </c>
      <c r="B211" t="s">
        <v>451</v>
      </c>
      <c r="C211" t="s">
        <v>452</v>
      </c>
      <c r="D211" t="s">
        <v>453</v>
      </c>
      <c r="E211" t="s">
        <v>340</v>
      </c>
      <c r="F211">
        <v>250</v>
      </c>
      <c r="K211" s="1">
        <v>46191.321215277778</v>
      </c>
      <c r="M211" t="b">
        <v>0</v>
      </c>
      <c r="O211" s="1">
        <v>46191.321215277778</v>
      </c>
    </row>
    <row r="212" spans="1:15" x14ac:dyDescent="0.25">
      <c r="A212">
        <v>1456850886</v>
      </c>
      <c r="B212" t="s">
        <v>451</v>
      </c>
      <c r="G212">
        <v>41</v>
      </c>
      <c r="H212" t="s">
        <v>29</v>
      </c>
      <c r="I212">
        <v>1750</v>
      </c>
      <c r="J212">
        <v>1749.2</v>
      </c>
      <c r="L212" t="s">
        <v>12</v>
      </c>
      <c r="M212" t="b">
        <v>0</v>
      </c>
      <c r="O212" s="1">
        <v>46191.321215277778</v>
      </c>
    </row>
    <row r="213" spans="1:15" x14ac:dyDescent="0.25">
      <c r="A213">
        <v>-393215537</v>
      </c>
      <c r="B213" t="s">
        <v>451</v>
      </c>
      <c r="G213">
        <v>35</v>
      </c>
      <c r="H213" t="s">
        <v>36</v>
      </c>
      <c r="I213">
        <v>137.5</v>
      </c>
      <c r="J213">
        <v>137.80000000000001</v>
      </c>
      <c r="L213" t="s">
        <v>12</v>
      </c>
      <c r="M213" t="b">
        <v>0</v>
      </c>
      <c r="O213" s="1">
        <v>46191.321215277778</v>
      </c>
    </row>
    <row r="214" spans="1:15" x14ac:dyDescent="0.25">
      <c r="A214">
        <v>-340767900</v>
      </c>
      <c r="B214" t="s">
        <v>451</v>
      </c>
      <c r="G214">
        <v>44</v>
      </c>
      <c r="H214" t="s">
        <v>16</v>
      </c>
      <c r="I214">
        <v>45</v>
      </c>
      <c r="J214">
        <v>45.6</v>
      </c>
      <c r="L214" t="s">
        <v>15</v>
      </c>
      <c r="M214" t="b">
        <v>0</v>
      </c>
      <c r="O214" s="1">
        <v>46191.321215277778</v>
      </c>
    </row>
    <row r="215" spans="1:15" x14ac:dyDescent="0.25">
      <c r="A215">
        <v>1781744503</v>
      </c>
      <c r="B215" t="s">
        <v>454</v>
      </c>
      <c r="C215" t="s">
        <v>424</v>
      </c>
      <c r="D215" t="s">
        <v>425</v>
      </c>
      <c r="E215" t="s">
        <v>336</v>
      </c>
      <c r="F215">
        <v>50</v>
      </c>
      <c r="K215" s="1">
        <v>46191.334513888891</v>
      </c>
      <c r="M215" t="b">
        <v>0</v>
      </c>
      <c r="O215" s="1">
        <v>46191.334513888891</v>
      </c>
    </row>
    <row r="216" spans="1:15" x14ac:dyDescent="0.25">
      <c r="A216">
        <v>-2074098196</v>
      </c>
      <c r="B216" t="s">
        <v>454</v>
      </c>
      <c r="G216">
        <v>41</v>
      </c>
      <c r="H216" t="s">
        <v>29</v>
      </c>
      <c r="I216">
        <v>250</v>
      </c>
      <c r="J216">
        <v>249.5</v>
      </c>
      <c r="L216" t="s">
        <v>12</v>
      </c>
      <c r="M216" t="b">
        <v>0</v>
      </c>
      <c r="O216" s="1">
        <v>46191.334513888891</v>
      </c>
    </row>
    <row r="217" spans="1:15" x14ac:dyDescent="0.25">
      <c r="A217">
        <v>799527549</v>
      </c>
      <c r="B217" t="s">
        <v>454</v>
      </c>
      <c r="G217">
        <v>58</v>
      </c>
      <c r="H217" t="s">
        <v>32</v>
      </c>
      <c r="I217">
        <v>200</v>
      </c>
      <c r="J217">
        <v>198.6</v>
      </c>
      <c r="L217" t="s">
        <v>12</v>
      </c>
      <c r="M217" t="b">
        <v>0</v>
      </c>
      <c r="O217" s="1">
        <v>46191.334513888891</v>
      </c>
    </row>
    <row r="218" spans="1:15" x14ac:dyDescent="0.25">
      <c r="A218">
        <v>366759418</v>
      </c>
      <c r="B218" t="s">
        <v>454</v>
      </c>
      <c r="G218">
        <v>35</v>
      </c>
      <c r="H218" t="s">
        <v>36</v>
      </c>
      <c r="I218">
        <v>45</v>
      </c>
      <c r="J218">
        <v>45</v>
      </c>
      <c r="L218" t="s">
        <v>12</v>
      </c>
      <c r="M218" t="b">
        <v>0</v>
      </c>
      <c r="O218" s="1">
        <v>46191.334513888891</v>
      </c>
    </row>
    <row r="219" spans="1:15" x14ac:dyDescent="0.25">
      <c r="A219">
        <v>1781744796</v>
      </c>
      <c r="B219" t="s">
        <v>455</v>
      </c>
      <c r="C219" t="s">
        <v>392</v>
      </c>
      <c r="D219" t="s">
        <v>456</v>
      </c>
      <c r="E219" t="s">
        <v>336</v>
      </c>
      <c r="F219">
        <v>250</v>
      </c>
      <c r="K219" s="1">
        <v>46191.337916666664</v>
      </c>
      <c r="M219" t="b">
        <v>0</v>
      </c>
      <c r="O219" s="1">
        <v>46191.337916666664</v>
      </c>
    </row>
    <row r="220" spans="1:15" x14ac:dyDescent="0.25">
      <c r="A220">
        <v>-710461587</v>
      </c>
      <c r="B220" t="s">
        <v>455</v>
      </c>
      <c r="G220">
        <v>41</v>
      </c>
      <c r="H220" t="s">
        <v>29</v>
      </c>
      <c r="I220">
        <v>1750</v>
      </c>
      <c r="J220">
        <v>1733.9</v>
      </c>
      <c r="L220" t="s">
        <v>12</v>
      </c>
      <c r="M220" t="b">
        <v>0</v>
      </c>
      <c r="O220" s="1">
        <v>46191.337916666664</v>
      </c>
    </row>
    <row r="221" spans="1:15" x14ac:dyDescent="0.25">
      <c r="A221">
        <v>1148234794</v>
      </c>
      <c r="B221" t="s">
        <v>455</v>
      </c>
      <c r="G221">
        <v>59</v>
      </c>
      <c r="H221" t="s">
        <v>31</v>
      </c>
      <c r="I221">
        <v>1125</v>
      </c>
      <c r="J221">
        <v>1121.7</v>
      </c>
      <c r="L221" t="s">
        <v>12</v>
      </c>
      <c r="M221" t="b">
        <v>0</v>
      </c>
      <c r="O221" s="1">
        <v>46191.337916666664</v>
      </c>
    </row>
    <row r="222" spans="1:15" x14ac:dyDescent="0.25">
      <c r="A222">
        <v>-84148381</v>
      </c>
      <c r="B222" t="s">
        <v>455</v>
      </c>
      <c r="G222">
        <v>35</v>
      </c>
      <c r="H222" t="s">
        <v>36</v>
      </c>
      <c r="I222">
        <v>350</v>
      </c>
      <c r="J222">
        <v>349</v>
      </c>
      <c r="L222" t="s">
        <v>12</v>
      </c>
      <c r="M222" t="b">
        <v>0</v>
      </c>
      <c r="O222" s="1">
        <v>46191.337916666664</v>
      </c>
    </row>
    <row r="223" spans="1:15" x14ac:dyDescent="0.25">
      <c r="A223">
        <v>-1350642072</v>
      </c>
      <c r="B223" t="s">
        <v>455</v>
      </c>
      <c r="G223">
        <v>11</v>
      </c>
      <c r="H223" t="s">
        <v>33</v>
      </c>
      <c r="I223">
        <v>100</v>
      </c>
      <c r="L223" t="s">
        <v>15</v>
      </c>
      <c r="M223" t="b">
        <v>0</v>
      </c>
      <c r="O223" s="1">
        <v>46191.337916666664</v>
      </c>
    </row>
    <row r="224" spans="1:15" x14ac:dyDescent="0.25">
      <c r="A224">
        <v>1781744867</v>
      </c>
      <c r="B224" t="s">
        <v>457</v>
      </c>
      <c r="C224" t="s">
        <v>392</v>
      </c>
      <c r="D224" t="s">
        <v>456</v>
      </c>
      <c r="E224" t="s">
        <v>336</v>
      </c>
      <c r="F224">
        <v>250</v>
      </c>
      <c r="K224" s="1">
        <v>46191.338738425926</v>
      </c>
      <c r="M224" t="b">
        <v>0</v>
      </c>
      <c r="O224" s="1">
        <v>46191.338738425926</v>
      </c>
    </row>
    <row r="225" spans="1:15" x14ac:dyDescent="0.25">
      <c r="A225">
        <v>-995684888</v>
      </c>
      <c r="B225" t="s">
        <v>457</v>
      </c>
      <c r="G225">
        <v>41</v>
      </c>
      <c r="H225" t="s">
        <v>29</v>
      </c>
      <c r="I225">
        <v>1750</v>
      </c>
      <c r="J225">
        <v>0</v>
      </c>
      <c r="L225" t="s">
        <v>15</v>
      </c>
      <c r="M225" t="b">
        <v>0</v>
      </c>
      <c r="O225" s="1">
        <v>46191.338738425926</v>
      </c>
    </row>
    <row r="226" spans="1:15" x14ac:dyDescent="0.25">
      <c r="A226">
        <v>-1713643063</v>
      </c>
      <c r="B226" t="s">
        <v>457</v>
      </c>
      <c r="G226">
        <v>59</v>
      </c>
      <c r="H226" t="s">
        <v>31</v>
      </c>
      <c r="I226">
        <v>1125</v>
      </c>
      <c r="J226">
        <v>0.1</v>
      </c>
      <c r="L226" t="s">
        <v>15</v>
      </c>
      <c r="M226" t="b">
        <v>0</v>
      </c>
      <c r="O226" s="1">
        <v>46191.338738425926</v>
      </c>
    </row>
    <row r="227" spans="1:15" x14ac:dyDescent="0.25">
      <c r="A227">
        <v>-574536106</v>
      </c>
      <c r="B227" t="s">
        <v>457</v>
      </c>
      <c r="G227">
        <v>35</v>
      </c>
      <c r="H227" t="s">
        <v>36</v>
      </c>
      <c r="I227">
        <v>350</v>
      </c>
      <c r="J227">
        <v>0.4</v>
      </c>
      <c r="L227" t="s">
        <v>15</v>
      </c>
      <c r="M227" t="b">
        <v>0</v>
      </c>
      <c r="O227" s="1">
        <v>46191.338738425926</v>
      </c>
    </row>
    <row r="228" spans="1:15" x14ac:dyDescent="0.25">
      <c r="A228">
        <v>128622879</v>
      </c>
      <c r="B228" t="s">
        <v>457</v>
      </c>
      <c r="G228">
        <v>11</v>
      </c>
      <c r="H228" t="s">
        <v>33</v>
      </c>
      <c r="I228">
        <v>100</v>
      </c>
      <c r="J228">
        <v>100.8</v>
      </c>
      <c r="L228" t="s">
        <v>12</v>
      </c>
      <c r="M228" t="b">
        <v>0</v>
      </c>
      <c r="O228" s="1">
        <v>46191.338738425926</v>
      </c>
    </row>
    <row r="229" spans="1:15" x14ac:dyDescent="0.25">
      <c r="A229">
        <v>1781745824</v>
      </c>
      <c r="B229" t="s">
        <v>458</v>
      </c>
      <c r="C229" t="s">
        <v>430</v>
      </c>
      <c r="D229" t="s">
        <v>431</v>
      </c>
      <c r="E229" t="s">
        <v>336</v>
      </c>
      <c r="F229">
        <v>120</v>
      </c>
      <c r="K229" s="1">
        <v>46191.349814814814</v>
      </c>
      <c r="M229" t="b">
        <v>0</v>
      </c>
      <c r="O229" s="1">
        <v>46191.349814814814</v>
      </c>
    </row>
    <row r="230" spans="1:15" x14ac:dyDescent="0.25">
      <c r="A230">
        <v>-968653791</v>
      </c>
      <c r="B230" t="s">
        <v>458</v>
      </c>
      <c r="G230">
        <v>41</v>
      </c>
      <c r="H230" t="s">
        <v>29</v>
      </c>
      <c r="I230">
        <v>1656</v>
      </c>
      <c r="L230" t="s">
        <v>15</v>
      </c>
      <c r="M230" t="b">
        <v>0</v>
      </c>
      <c r="O230" s="1">
        <v>46191.349814814814</v>
      </c>
    </row>
    <row r="231" spans="1:15" x14ac:dyDescent="0.25">
      <c r="A231">
        <v>-1512841266</v>
      </c>
      <c r="B231" t="s">
        <v>458</v>
      </c>
      <c r="G231">
        <v>35</v>
      </c>
      <c r="H231" t="s">
        <v>36</v>
      </c>
      <c r="I231">
        <v>230.4</v>
      </c>
      <c r="L231" t="s">
        <v>15</v>
      </c>
      <c r="M231" t="b">
        <v>0</v>
      </c>
      <c r="O231" s="1">
        <v>46191.349814814814</v>
      </c>
    </row>
    <row r="232" spans="1:15" x14ac:dyDescent="0.25">
      <c r="A232">
        <v>-288265417</v>
      </c>
      <c r="B232" t="s">
        <v>458</v>
      </c>
      <c r="G232">
        <v>44</v>
      </c>
      <c r="H232" t="s">
        <v>16</v>
      </c>
      <c r="I232">
        <v>33.6</v>
      </c>
      <c r="L232" t="s">
        <v>15</v>
      </c>
      <c r="M232" t="b">
        <v>0</v>
      </c>
      <c r="O232" s="1">
        <v>46191.349814814814</v>
      </c>
    </row>
    <row r="233" spans="1:15" x14ac:dyDescent="0.25">
      <c r="A233">
        <v>1781746059</v>
      </c>
      <c r="B233" t="s">
        <v>459</v>
      </c>
      <c r="C233" t="s">
        <v>430</v>
      </c>
      <c r="D233" t="s">
        <v>431</v>
      </c>
      <c r="E233" t="s">
        <v>336</v>
      </c>
      <c r="F233">
        <v>120</v>
      </c>
      <c r="K233" s="1">
        <v>46191.352534722224</v>
      </c>
      <c r="M233" t="b">
        <v>0</v>
      </c>
      <c r="O233" s="1">
        <v>46191.352534722224</v>
      </c>
    </row>
    <row r="234" spans="1:15" x14ac:dyDescent="0.25">
      <c r="A234">
        <v>-1428762768</v>
      </c>
      <c r="B234" t="s">
        <v>459</v>
      </c>
      <c r="G234">
        <v>41</v>
      </c>
      <c r="H234" t="s">
        <v>29</v>
      </c>
      <c r="I234">
        <v>1656</v>
      </c>
      <c r="J234">
        <v>1661.7</v>
      </c>
      <c r="L234" t="s">
        <v>12</v>
      </c>
      <c r="M234" t="b">
        <v>0</v>
      </c>
      <c r="O234" s="1">
        <v>46191.352534722224</v>
      </c>
    </row>
    <row r="235" spans="1:15" x14ac:dyDescent="0.25">
      <c r="A235">
        <v>-1306454351</v>
      </c>
      <c r="B235" t="s">
        <v>459</v>
      </c>
      <c r="G235">
        <v>35</v>
      </c>
      <c r="H235" t="s">
        <v>36</v>
      </c>
      <c r="I235">
        <v>230.4</v>
      </c>
      <c r="J235">
        <v>229.4</v>
      </c>
      <c r="L235" t="s">
        <v>12</v>
      </c>
      <c r="M235" t="b">
        <v>0</v>
      </c>
      <c r="O235" s="1">
        <v>46191.352534722224</v>
      </c>
    </row>
    <row r="236" spans="1:15" x14ac:dyDescent="0.25">
      <c r="A236">
        <v>24380190</v>
      </c>
      <c r="B236" t="s">
        <v>459</v>
      </c>
      <c r="G236">
        <v>44</v>
      </c>
      <c r="H236" t="s">
        <v>16</v>
      </c>
      <c r="I236">
        <v>33.6</v>
      </c>
      <c r="J236">
        <v>33.799999999999997</v>
      </c>
      <c r="L236" t="s">
        <v>12</v>
      </c>
      <c r="M236" t="b">
        <v>0</v>
      </c>
      <c r="O236" s="1">
        <v>46191.352534722224</v>
      </c>
    </row>
    <row r="237" spans="1:15" x14ac:dyDescent="0.25">
      <c r="A237">
        <v>1781751186</v>
      </c>
      <c r="B237" t="s">
        <v>460</v>
      </c>
      <c r="C237" t="s">
        <v>452</v>
      </c>
      <c r="D237" t="s">
        <v>453</v>
      </c>
      <c r="E237" t="s">
        <v>340</v>
      </c>
      <c r="F237">
        <v>250</v>
      </c>
      <c r="K237" s="1">
        <v>46191.411874999998</v>
      </c>
      <c r="M237" t="b">
        <v>0</v>
      </c>
      <c r="O237" s="1">
        <v>46191.411874999998</v>
      </c>
    </row>
    <row r="238" spans="1:15" x14ac:dyDescent="0.25">
      <c r="A238">
        <v>-610754901</v>
      </c>
      <c r="B238" t="s">
        <v>460</v>
      </c>
      <c r="G238">
        <v>41</v>
      </c>
      <c r="H238" t="s">
        <v>29</v>
      </c>
      <c r="I238">
        <v>2860</v>
      </c>
      <c r="J238">
        <v>2862.1</v>
      </c>
      <c r="L238" t="s">
        <v>12</v>
      </c>
      <c r="M238" t="b">
        <v>0</v>
      </c>
      <c r="O238" s="1">
        <v>46191.411874999998</v>
      </c>
    </row>
    <row r="239" spans="1:15" x14ac:dyDescent="0.25">
      <c r="A239">
        <v>1277265424</v>
      </c>
      <c r="B239" t="s">
        <v>460</v>
      </c>
      <c r="G239">
        <v>35</v>
      </c>
      <c r="H239" t="s">
        <v>36</v>
      </c>
      <c r="I239">
        <v>165.1</v>
      </c>
      <c r="J239">
        <v>166.9</v>
      </c>
      <c r="L239" t="s">
        <v>15</v>
      </c>
      <c r="M239" t="b">
        <v>0</v>
      </c>
      <c r="O239" s="1">
        <v>46191.411874999998</v>
      </c>
    </row>
    <row r="240" spans="1:15" x14ac:dyDescent="0.25">
      <c r="A240">
        <v>-1269370671</v>
      </c>
      <c r="B240" t="s">
        <v>460</v>
      </c>
      <c r="G240">
        <v>44</v>
      </c>
      <c r="H240" t="s">
        <v>16</v>
      </c>
      <c r="I240">
        <v>40.5</v>
      </c>
      <c r="J240">
        <v>40.799999999999997</v>
      </c>
      <c r="L240" t="s">
        <v>12</v>
      </c>
      <c r="M240" t="b">
        <v>0</v>
      </c>
      <c r="O240" s="1">
        <v>46191.411874999998</v>
      </c>
    </row>
    <row r="241" spans="1:15" x14ac:dyDescent="0.25">
      <c r="A241">
        <v>1781752484</v>
      </c>
      <c r="B241" t="s">
        <v>461</v>
      </c>
      <c r="C241" t="s">
        <v>345</v>
      </c>
      <c r="D241" t="s">
        <v>462</v>
      </c>
      <c r="E241" t="s">
        <v>336</v>
      </c>
      <c r="F241">
        <v>50</v>
      </c>
      <c r="K241" s="1">
        <v>46191.426898148151</v>
      </c>
      <c r="M241" t="b">
        <v>0</v>
      </c>
      <c r="O241" s="1">
        <v>46191.426898148151</v>
      </c>
    </row>
    <row r="242" spans="1:15" x14ac:dyDescent="0.25">
      <c r="A242">
        <v>1252503253</v>
      </c>
      <c r="B242" t="s">
        <v>461</v>
      </c>
      <c r="G242">
        <v>41</v>
      </c>
      <c r="H242" t="s">
        <v>29</v>
      </c>
      <c r="I242">
        <v>240</v>
      </c>
      <c r="J242">
        <v>242.3</v>
      </c>
      <c r="L242" t="s">
        <v>12</v>
      </c>
      <c r="M242" t="b">
        <v>0</v>
      </c>
      <c r="O242" s="1">
        <v>46191.426898148151</v>
      </c>
    </row>
    <row r="243" spans="1:15" x14ac:dyDescent="0.25">
      <c r="A243">
        <v>315431282</v>
      </c>
      <c r="B243" t="s">
        <v>461</v>
      </c>
      <c r="G243">
        <v>35</v>
      </c>
      <c r="H243" t="s">
        <v>36</v>
      </c>
      <c r="I243">
        <v>55</v>
      </c>
      <c r="J243">
        <v>55.1</v>
      </c>
      <c r="L243" t="s">
        <v>12</v>
      </c>
      <c r="M243" t="b">
        <v>0</v>
      </c>
      <c r="O243" s="1">
        <v>46191.426898148151</v>
      </c>
    </row>
    <row r="244" spans="1:15" x14ac:dyDescent="0.25">
      <c r="A244">
        <v>896132363</v>
      </c>
      <c r="B244" t="s">
        <v>461</v>
      </c>
      <c r="G244">
        <v>44</v>
      </c>
      <c r="H244" t="s">
        <v>16</v>
      </c>
      <c r="I244">
        <v>15</v>
      </c>
      <c r="J244">
        <v>15.5</v>
      </c>
      <c r="L244" t="s">
        <v>15</v>
      </c>
      <c r="M244" t="b">
        <v>0</v>
      </c>
      <c r="O244" s="1">
        <v>46191.426898148151</v>
      </c>
    </row>
    <row r="245" spans="1:15" x14ac:dyDescent="0.25">
      <c r="A245">
        <v>1781752739</v>
      </c>
      <c r="B245" t="s">
        <v>463</v>
      </c>
      <c r="C245" t="s">
        <v>392</v>
      </c>
      <c r="D245" t="s">
        <v>456</v>
      </c>
      <c r="E245" t="s">
        <v>336</v>
      </c>
      <c r="F245">
        <v>250</v>
      </c>
      <c r="K245" s="1">
        <v>46191.429849537039</v>
      </c>
      <c r="M245" t="b">
        <v>0</v>
      </c>
      <c r="O245" s="1">
        <v>46191.429849537039</v>
      </c>
    </row>
    <row r="246" spans="1:15" x14ac:dyDescent="0.25">
      <c r="A246">
        <v>-800262744</v>
      </c>
      <c r="B246" t="s">
        <v>463</v>
      </c>
      <c r="G246">
        <v>41</v>
      </c>
      <c r="H246" t="s">
        <v>29</v>
      </c>
      <c r="I246">
        <v>1487</v>
      </c>
      <c r="J246">
        <v>1495.7</v>
      </c>
      <c r="L246" t="s">
        <v>12</v>
      </c>
      <c r="M246" t="b">
        <v>0</v>
      </c>
      <c r="O246" s="1">
        <v>46191.429849537039</v>
      </c>
    </row>
    <row r="247" spans="1:15" x14ac:dyDescent="0.25">
      <c r="A247">
        <v>-465822071</v>
      </c>
      <c r="B247" t="s">
        <v>463</v>
      </c>
      <c r="G247">
        <v>59</v>
      </c>
      <c r="H247" t="s">
        <v>31</v>
      </c>
      <c r="I247">
        <v>1000</v>
      </c>
      <c r="J247">
        <v>1004.3</v>
      </c>
      <c r="L247" t="s">
        <v>12</v>
      </c>
      <c r="M247" t="b">
        <v>0</v>
      </c>
      <c r="O247" s="1">
        <v>46191.429849537039</v>
      </c>
    </row>
    <row r="248" spans="1:15" x14ac:dyDescent="0.25">
      <c r="A248">
        <v>-683641834</v>
      </c>
      <c r="B248" t="s">
        <v>463</v>
      </c>
      <c r="G248">
        <v>35</v>
      </c>
      <c r="H248" t="s">
        <v>36</v>
      </c>
      <c r="I248">
        <v>350</v>
      </c>
      <c r="J248">
        <v>348.3</v>
      </c>
      <c r="L248" t="s">
        <v>12</v>
      </c>
      <c r="M248" t="b">
        <v>0</v>
      </c>
      <c r="O248" s="1">
        <v>46191.429849537039</v>
      </c>
    </row>
    <row r="249" spans="1:15" x14ac:dyDescent="0.25">
      <c r="A249">
        <v>-702534689</v>
      </c>
      <c r="B249" t="s">
        <v>463</v>
      </c>
      <c r="G249">
        <v>11</v>
      </c>
      <c r="H249" t="s">
        <v>33</v>
      </c>
      <c r="I249">
        <v>70</v>
      </c>
      <c r="J249">
        <v>69.7</v>
      </c>
      <c r="L249" t="s">
        <v>12</v>
      </c>
      <c r="M249" t="b">
        <v>0</v>
      </c>
      <c r="O249" s="1">
        <v>46191.429849537039</v>
      </c>
    </row>
    <row r="250" spans="1:15" x14ac:dyDescent="0.25">
      <c r="A250">
        <v>1781755880</v>
      </c>
      <c r="B250" t="s">
        <v>464</v>
      </c>
      <c r="C250" t="s">
        <v>452</v>
      </c>
      <c r="D250" t="s">
        <v>453</v>
      </c>
      <c r="E250" t="s">
        <v>340</v>
      </c>
      <c r="F250">
        <v>450</v>
      </c>
      <c r="K250" s="1">
        <v>46191.466203703705</v>
      </c>
      <c r="M250" t="b">
        <v>0</v>
      </c>
      <c r="O250" s="1">
        <v>46191.466203703705</v>
      </c>
    </row>
    <row r="251" spans="1:15" x14ac:dyDescent="0.25">
      <c r="A251">
        <v>1402280905</v>
      </c>
      <c r="B251" t="s">
        <v>464</v>
      </c>
      <c r="G251">
        <v>41</v>
      </c>
      <c r="H251" t="s">
        <v>29</v>
      </c>
      <c r="I251">
        <v>5130</v>
      </c>
      <c r="J251">
        <v>5174.8</v>
      </c>
      <c r="L251" t="s">
        <v>12</v>
      </c>
      <c r="M251" t="b">
        <v>0</v>
      </c>
      <c r="O251" s="1">
        <v>46191.466203703705</v>
      </c>
    </row>
    <row r="252" spans="1:15" x14ac:dyDescent="0.25">
      <c r="A252">
        <v>1835825238</v>
      </c>
      <c r="B252" t="s">
        <v>464</v>
      </c>
      <c r="G252">
        <v>35</v>
      </c>
      <c r="H252" t="s">
        <v>36</v>
      </c>
      <c r="I252">
        <v>326.7</v>
      </c>
      <c r="J252">
        <v>325.5</v>
      </c>
      <c r="L252" t="s">
        <v>12</v>
      </c>
      <c r="M252" t="b">
        <v>0</v>
      </c>
      <c r="O252" s="1">
        <v>46191.466203703705</v>
      </c>
    </row>
    <row r="253" spans="1:15" x14ac:dyDescent="0.25">
      <c r="A253">
        <v>-1750176993</v>
      </c>
      <c r="B253" t="s">
        <v>464</v>
      </c>
      <c r="G253">
        <v>44</v>
      </c>
      <c r="H253" t="s">
        <v>16</v>
      </c>
      <c r="I253">
        <v>72.900000000000006</v>
      </c>
      <c r="J253">
        <v>72.8</v>
      </c>
      <c r="L253" t="s">
        <v>12</v>
      </c>
      <c r="M253" t="b">
        <v>0</v>
      </c>
      <c r="O253" s="1">
        <v>46191.466203703705</v>
      </c>
    </row>
    <row r="254" spans="1:15" x14ac:dyDescent="0.25">
      <c r="A254">
        <v>1781758570</v>
      </c>
      <c r="B254" t="s">
        <v>465</v>
      </c>
      <c r="C254" t="s">
        <v>466</v>
      </c>
      <c r="D254" t="s">
        <v>467</v>
      </c>
      <c r="E254" t="s">
        <v>340</v>
      </c>
      <c r="F254">
        <v>250</v>
      </c>
      <c r="K254" s="1">
        <v>46191.497337962966</v>
      </c>
      <c r="M254" t="b">
        <v>0</v>
      </c>
      <c r="O254" s="1">
        <v>46191.497337962966</v>
      </c>
    </row>
    <row r="255" spans="1:15" x14ac:dyDescent="0.25">
      <c r="A255">
        <v>-209207133</v>
      </c>
      <c r="B255" t="s">
        <v>465</v>
      </c>
      <c r="G255">
        <v>35</v>
      </c>
      <c r="H255" t="s">
        <v>36</v>
      </c>
      <c r="I255">
        <v>140</v>
      </c>
      <c r="J255">
        <v>139.80000000000001</v>
      </c>
      <c r="L255" t="s">
        <v>12</v>
      </c>
      <c r="M255" t="b">
        <v>0</v>
      </c>
      <c r="O255" s="1">
        <v>46191.497337962966</v>
      </c>
    </row>
    <row r="256" spans="1:15" x14ac:dyDescent="0.25">
      <c r="A256">
        <v>-5288280</v>
      </c>
      <c r="B256" t="s">
        <v>465</v>
      </c>
      <c r="G256">
        <v>17</v>
      </c>
      <c r="H256" t="s">
        <v>134</v>
      </c>
      <c r="I256">
        <v>450</v>
      </c>
      <c r="J256">
        <v>452.9</v>
      </c>
      <c r="L256" t="s">
        <v>12</v>
      </c>
      <c r="M256" t="b">
        <v>0</v>
      </c>
      <c r="O256" s="1">
        <v>46191.497337962966</v>
      </c>
    </row>
    <row r="257" spans="1:15" x14ac:dyDescent="0.25">
      <c r="A257">
        <v>-730086519</v>
      </c>
      <c r="B257" t="s">
        <v>465</v>
      </c>
      <c r="G257">
        <v>57</v>
      </c>
      <c r="H257" t="s">
        <v>17</v>
      </c>
      <c r="I257">
        <v>482.5</v>
      </c>
      <c r="J257">
        <v>478.2</v>
      </c>
      <c r="L257" t="s">
        <v>12</v>
      </c>
      <c r="M257" t="b">
        <v>0</v>
      </c>
      <c r="O257" s="1">
        <v>46191.497337962966</v>
      </c>
    </row>
    <row r="258" spans="1:15" x14ac:dyDescent="0.25">
      <c r="A258">
        <v>-2136050410</v>
      </c>
      <c r="B258" t="s">
        <v>465</v>
      </c>
      <c r="G258">
        <v>41</v>
      </c>
      <c r="H258" t="s">
        <v>29</v>
      </c>
      <c r="I258">
        <v>125</v>
      </c>
      <c r="J258">
        <v>126</v>
      </c>
      <c r="L258" t="s">
        <v>12</v>
      </c>
      <c r="M258" t="b">
        <v>0</v>
      </c>
      <c r="O258" s="1">
        <v>46191.497337962966</v>
      </c>
    </row>
    <row r="259" spans="1:15" x14ac:dyDescent="0.25">
      <c r="A259">
        <v>1781764305</v>
      </c>
      <c r="B259" t="s">
        <v>468</v>
      </c>
      <c r="C259" t="s">
        <v>469</v>
      </c>
      <c r="D259" t="s">
        <v>470</v>
      </c>
      <c r="E259" t="s">
        <v>313</v>
      </c>
      <c r="F259">
        <v>400</v>
      </c>
      <c r="K259" s="1">
        <v>46191.563715277778</v>
      </c>
      <c r="M259" t="b">
        <v>0</v>
      </c>
      <c r="O259" s="1">
        <v>46191.563715277778</v>
      </c>
    </row>
    <row r="260" spans="1:15" x14ac:dyDescent="0.25">
      <c r="A260">
        <v>-563332418</v>
      </c>
      <c r="B260" t="s">
        <v>468</v>
      </c>
      <c r="G260">
        <v>41</v>
      </c>
      <c r="H260" t="s">
        <v>29</v>
      </c>
      <c r="I260">
        <v>2400</v>
      </c>
      <c r="J260">
        <v>2402.8000000000002</v>
      </c>
      <c r="L260" t="s">
        <v>12</v>
      </c>
      <c r="M260" t="b">
        <v>0</v>
      </c>
      <c r="O260" s="1">
        <v>46191.563715277778</v>
      </c>
    </row>
    <row r="261" spans="1:15" x14ac:dyDescent="0.25">
      <c r="A261">
        <v>-817035417</v>
      </c>
      <c r="B261" t="s">
        <v>468</v>
      </c>
      <c r="G261">
        <v>16</v>
      </c>
      <c r="H261" t="s">
        <v>13</v>
      </c>
      <c r="I261">
        <v>40</v>
      </c>
      <c r="J261">
        <v>40</v>
      </c>
      <c r="L261" t="s">
        <v>12</v>
      </c>
      <c r="M261" t="b">
        <v>0</v>
      </c>
      <c r="O261" s="1">
        <v>46191.563715277778</v>
      </c>
    </row>
    <row r="262" spans="1:15" x14ac:dyDescent="0.25">
      <c r="A262">
        <v>1781767560</v>
      </c>
      <c r="B262" t="s">
        <v>471</v>
      </c>
      <c r="C262" t="s">
        <v>424</v>
      </c>
      <c r="D262" t="s">
        <v>425</v>
      </c>
      <c r="E262" t="s">
        <v>336</v>
      </c>
      <c r="F262">
        <v>50</v>
      </c>
      <c r="K262" s="1">
        <v>46191.601388888892</v>
      </c>
      <c r="M262" t="b">
        <v>0</v>
      </c>
      <c r="O262" s="1">
        <v>46191.601388888892</v>
      </c>
    </row>
    <row r="263" spans="1:15" x14ac:dyDescent="0.25">
      <c r="A263">
        <v>-996482839</v>
      </c>
      <c r="B263" t="s">
        <v>471</v>
      </c>
      <c r="G263">
        <v>41</v>
      </c>
      <c r="H263" t="s">
        <v>29</v>
      </c>
      <c r="I263">
        <v>250</v>
      </c>
      <c r="J263">
        <v>250.8</v>
      </c>
      <c r="L263" t="s">
        <v>12</v>
      </c>
      <c r="M263" t="b">
        <v>0</v>
      </c>
      <c r="O263" s="1">
        <v>46191.601388888892</v>
      </c>
    </row>
    <row r="264" spans="1:15" x14ac:dyDescent="0.25">
      <c r="A264">
        <v>579526390</v>
      </c>
      <c r="B264" t="s">
        <v>471</v>
      </c>
      <c r="G264">
        <v>58</v>
      </c>
      <c r="H264" t="s">
        <v>32</v>
      </c>
      <c r="I264">
        <v>180</v>
      </c>
      <c r="J264">
        <v>180.8</v>
      </c>
      <c r="L264" t="s">
        <v>12</v>
      </c>
      <c r="M264" t="b">
        <v>0</v>
      </c>
      <c r="O264" s="1">
        <v>46191.601388888892</v>
      </c>
    </row>
    <row r="265" spans="1:15" x14ac:dyDescent="0.25">
      <c r="A265">
        <v>1178219839</v>
      </c>
      <c r="B265" t="s">
        <v>471</v>
      </c>
      <c r="G265">
        <v>35</v>
      </c>
      <c r="H265" t="s">
        <v>36</v>
      </c>
      <c r="I265">
        <v>55</v>
      </c>
      <c r="J265">
        <v>55.3</v>
      </c>
      <c r="L265" t="s">
        <v>12</v>
      </c>
      <c r="M265" t="b">
        <v>0</v>
      </c>
      <c r="O265" s="1">
        <v>46191.601388888892</v>
      </c>
    </row>
    <row r="266" spans="1:15" x14ac:dyDescent="0.25">
      <c r="A266">
        <v>1781767809</v>
      </c>
      <c r="B266" t="s">
        <v>472</v>
      </c>
      <c r="C266" t="s">
        <v>466</v>
      </c>
      <c r="D266" t="s">
        <v>467</v>
      </c>
      <c r="E266" t="s">
        <v>340</v>
      </c>
      <c r="F266">
        <v>250</v>
      </c>
      <c r="K266" s="1">
        <v>46191.604259259257</v>
      </c>
      <c r="M266" t="b">
        <v>0</v>
      </c>
      <c r="O266" s="1">
        <v>46191.604259259257</v>
      </c>
    </row>
    <row r="267" spans="1:15" x14ac:dyDescent="0.25">
      <c r="A267">
        <v>-423968082</v>
      </c>
      <c r="B267" t="s">
        <v>472</v>
      </c>
      <c r="G267">
        <v>35</v>
      </c>
      <c r="H267" t="s">
        <v>36</v>
      </c>
      <c r="I267">
        <v>165</v>
      </c>
      <c r="J267">
        <v>165.1</v>
      </c>
      <c r="L267" t="s">
        <v>12</v>
      </c>
      <c r="M267" t="b">
        <v>0</v>
      </c>
      <c r="O267" s="1">
        <v>46191.604259259257</v>
      </c>
    </row>
    <row r="268" spans="1:15" x14ac:dyDescent="0.25">
      <c r="A268">
        <v>524061847</v>
      </c>
      <c r="B268" t="s">
        <v>472</v>
      </c>
      <c r="G268">
        <v>17</v>
      </c>
      <c r="H268" t="s">
        <v>134</v>
      </c>
      <c r="I268">
        <v>400</v>
      </c>
      <c r="J268">
        <v>403.2</v>
      </c>
      <c r="L268" t="s">
        <v>12</v>
      </c>
      <c r="M268" t="b">
        <v>0</v>
      </c>
      <c r="O268" s="1">
        <v>46191.604259259257</v>
      </c>
    </row>
    <row r="269" spans="1:15" x14ac:dyDescent="0.25">
      <c r="A269">
        <v>1454661772</v>
      </c>
      <c r="B269" t="s">
        <v>472</v>
      </c>
      <c r="G269">
        <v>57</v>
      </c>
      <c r="H269" t="s">
        <v>17</v>
      </c>
      <c r="I269">
        <v>450</v>
      </c>
      <c r="J269">
        <v>452.1</v>
      </c>
      <c r="L269" t="s">
        <v>12</v>
      </c>
      <c r="M269" t="b">
        <v>0</v>
      </c>
      <c r="O269" s="1">
        <v>46191.604259259257</v>
      </c>
    </row>
    <row r="270" spans="1:15" x14ac:dyDescent="0.25">
      <c r="A270">
        <v>-1284325219</v>
      </c>
      <c r="B270" t="s">
        <v>472</v>
      </c>
      <c r="G270">
        <v>41</v>
      </c>
      <c r="H270" t="s">
        <v>29</v>
      </c>
      <c r="I270">
        <v>115</v>
      </c>
      <c r="J270">
        <v>115.2</v>
      </c>
      <c r="L270" t="s">
        <v>12</v>
      </c>
      <c r="M270" t="b">
        <v>0</v>
      </c>
      <c r="O270" s="1">
        <v>46191.604259259257</v>
      </c>
    </row>
    <row r="271" spans="1:15" x14ac:dyDescent="0.25">
      <c r="A271">
        <v>1781770038</v>
      </c>
      <c r="B271" t="s">
        <v>473</v>
      </c>
      <c r="C271" t="s">
        <v>402</v>
      </c>
      <c r="D271" t="s">
        <v>403</v>
      </c>
      <c r="E271" t="s">
        <v>364</v>
      </c>
      <c r="F271">
        <v>50</v>
      </c>
      <c r="K271" s="1">
        <v>46191.630069444444</v>
      </c>
      <c r="M271" t="b">
        <v>0</v>
      </c>
      <c r="O271" s="1">
        <v>46191.630069444444</v>
      </c>
    </row>
    <row r="272" spans="1:15" x14ac:dyDescent="0.25">
      <c r="A272">
        <v>1389291647</v>
      </c>
      <c r="B272" t="s">
        <v>473</v>
      </c>
      <c r="G272">
        <v>41</v>
      </c>
      <c r="H272" t="s">
        <v>29</v>
      </c>
      <c r="I272">
        <v>186</v>
      </c>
      <c r="J272">
        <v>187.82</v>
      </c>
      <c r="L272" t="s">
        <v>12</v>
      </c>
      <c r="M272" t="b">
        <v>0</v>
      </c>
      <c r="O272" s="1">
        <v>46191.630069444444</v>
      </c>
    </row>
    <row r="273" spans="1:15" x14ac:dyDescent="0.25">
      <c r="A273">
        <v>1476458580</v>
      </c>
      <c r="B273" t="s">
        <v>473</v>
      </c>
      <c r="G273">
        <v>59</v>
      </c>
      <c r="H273" t="s">
        <v>31</v>
      </c>
      <c r="I273">
        <v>10.7</v>
      </c>
      <c r="J273">
        <v>10.67</v>
      </c>
      <c r="L273" t="s">
        <v>12</v>
      </c>
      <c r="M273" t="b">
        <v>0</v>
      </c>
      <c r="O273" s="1">
        <v>46191.630069444444</v>
      </c>
    </row>
    <row r="274" spans="1:15" x14ac:dyDescent="0.25">
      <c r="A274">
        <v>-934863163</v>
      </c>
      <c r="B274" t="s">
        <v>473</v>
      </c>
      <c r="G274">
        <v>35</v>
      </c>
      <c r="H274" t="s">
        <v>36</v>
      </c>
      <c r="I274">
        <v>21.55</v>
      </c>
      <c r="J274">
        <v>21.64</v>
      </c>
      <c r="L274" t="s">
        <v>12</v>
      </c>
      <c r="M274" t="b">
        <v>0</v>
      </c>
      <c r="O274" s="1">
        <v>46191.630069444444</v>
      </c>
    </row>
    <row r="275" spans="1:15" x14ac:dyDescent="0.25">
      <c r="A275">
        <v>-1301977438</v>
      </c>
      <c r="B275" t="s">
        <v>473</v>
      </c>
      <c r="G275">
        <v>44</v>
      </c>
      <c r="H275" t="s">
        <v>16</v>
      </c>
      <c r="I275">
        <v>7.15</v>
      </c>
      <c r="J275">
        <v>7.19</v>
      </c>
      <c r="L275" t="s">
        <v>12</v>
      </c>
      <c r="M275" t="b">
        <v>0</v>
      </c>
      <c r="O275" s="1">
        <v>46191.630069444444</v>
      </c>
    </row>
    <row r="276" spans="1:15" x14ac:dyDescent="0.25">
      <c r="A276">
        <v>1781777610</v>
      </c>
      <c r="B276" t="s">
        <v>474</v>
      </c>
      <c r="C276" t="s">
        <v>466</v>
      </c>
      <c r="D276" t="s">
        <v>467</v>
      </c>
      <c r="E276" t="s">
        <v>340</v>
      </c>
      <c r="F276">
        <v>250</v>
      </c>
      <c r="K276" s="1">
        <v>46191.71770833333</v>
      </c>
      <c r="M276" t="b">
        <v>0</v>
      </c>
      <c r="O276" s="1">
        <v>46191.71770833333</v>
      </c>
    </row>
    <row r="277" spans="1:15" x14ac:dyDescent="0.25">
      <c r="A277">
        <v>-295234685</v>
      </c>
      <c r="B277" t="s">
        <v>474</v>
      </c>
      <c r="G277">
        <v>35</v>
      </c>
      <c r="H277" t="s">
        <v>36</v>
      </c>
      <c r="I277">
        <v>165</v>
      </c>
      <c r="J277">
        <v>165.4</v>
      </c>
      <c r="L277" t="s">
        <v>12</v>
      </c>
      <c r="M277" t="b">
        <v>0</v>
      </c>
      <c r="O277" s="1">
        <v>46191.71770833333</v>
      </c>
    </row>
    <row r="278" spans="1:15" x14ac:dyDescent="0.25">
      <c r="A278">
        <v>359014408</v>
      </c>
      <c r="B278" t="s">
        <v>474</v>
      </c>
      <c r="G278">
        <v>17</v>
      </c>
      <c r="H278" t="s">
        <v>134</v>
      </c>
      <c r="I278">
        <v>340</v>
      </c>
      <c r="J278">
        <v>342.1</v>
      </c>
      <c r="L278" t="s">
        <v>12</v>
      </c>
      <c r="M278" t="b">
        <v>0</v>
      </c>
      <c r="O278" s="1">
        <v>46191.71770833333</v>
      </c>
    </row>
    <row r="279" spans="1:15" x14ac:dyDescent="0.25">
      <c r="A279">
        <v>1572524393</v>
      </c>
      <c r="B279" t="s">
        <v>474</v>
      </c>
      <c r="G279">
        <v>57</v>
      </c>
      <c r="H279" t="s">
        <v>17</v>
      </c>
      <c r="I279">
        <v>450</v>
      </c>
      <c r="J279">
        <v>448.9</v>
      </c>
      <c r="L279" t="s">
        <v>12</v>
      </c>
      <c r="M279" t="b">
        <v>0</v>
      </c>
      <c r="O279" s="1">
        <v>46191.71770833333</v>
      </c>
    </row>
    <row r="280" spans="1:15" x14ac:dyDescent="0.25">
      <c r="A280">
        <v>1597711734</v>
      </c>
      <c r="B280" t="s">
        <v>474</v>
      </c>
      <c r="G280">
        <v>41</v>
      </c>
      <c r="H280" t="s">
        <v>29</v>
      </c>
      <c r="I280">
        <v>110</v>
      </c>
      <c r="J280">
        <v>109.8</v>
      </c>
      <c r="L280" t="s">
        <v>12</v>
      </c>
      <c r="M280" t="b">
        <v>0</v>
      </c>
      <c r="O280" s="1">
        <v>46191.71770833333</v>
      </c>
    </row>
    <row r="281" spans="1:15" x14ac:dyDescent="0.25">
      <c r="A281">
        <v>1781786214</v>
      </c>
      <c r="B281" t="s">
        <v>475</v>
      </c>
      <c r="C281" t="s">
        <v>466</v>
      </c>
      <c r="D281" t="s">
        <v>467</v>
      </c>
      <c r="E281" t="s">
        <v>340</v>
      </c>
      <c r="F281">
        <v>250</v>
      </c>
      <c r="K281" s="1">
        <v>46191.817291666666</v>
      </c>
      <c r="M281" t="b">
        <v>0</v>
      </c>
      <c r="O281" s="1">
        <v>46191.817291666666</v>
      </c>
    </row>
    <row r="282" spans="1:15" x14ac:dyDescent="0.25">
      <c r="A282">
        <v>1738482671</v>
      </c>
      <c r="B282" t="s">
        <v>475</v>
      </c>
      <c r="G282">
        <v>35</v>
      </c>
      <c r="H282" t="s">
        <v>36</v>
      </c>
      <c r="I282">
        <v>155</v>
      </c>
      <c r="J282">
        <v>156</v>
      </c>
      <c r="L282" t="s">
        <v>12</v>
      </c>
      <c r="M282" t="b">
        <v>0</v>
      </c>
      <c r="O282" s="1">
        <v>46191.817291666666</v>
      </c>
    </row>
    <row r="283" spans="1:15" x14ac:dyDescent="0.25">
      <c r="A283">
        <v>-1040053500</v>
      </c>
      <c r="B283" t="s">
        <v>475</v>
      </c>
      <c r="G283">
        <v>17</v>
      </c>
      <c r="H283" t="s">
        <v>134</v>
      </c>
      <c r="I283">
        <v>330</v>
      </c>
      <c r="J283">
        <v>329.9</v>
      </c>
      <c r="L283" t="s">
        <v>12</v>
      </c>
      <c r="M283" t="b">
        <v>0</v>
      </c>
      <c r="O283" s="1">
        <v>46191.817291666666</v>
      </c>
    </row>
    <row r="284" spans="1:15" x14ac:dyDescent="0.25">
      <c r="A284">
        <v>-1656649803</v>
      </c>
      <c r="B284" t="s">
        <v>475</v>
      </c>
      <c r="G284">
        <v>57</v>
      </c>
      <c r="H284" t="s">
        <v>17</v>
      </c>
      <c r="I284">
        <v>400</v>
      </c>
      <c r="J284">
        <v>400.7</v>
      </c>
      <c r="L284" t="s">
        <v>12</v>
      </c>
      <c r="M284" t="b">
        <v>0</v>
      </c>
      <c r="O284" s="1">
        <v>46191.817291666666</v>
      </c>
    </row>
    <row r="285" spans="1:15" x14ac:dyDescent="0.25">
      <c r="A285">
        <v>-1464764206</v>
      </c>
      <c r="B285" t="s">
        <v>475</v>
      </c>
      <c r="G285">
        <v>41</v>
      </c>
      <c r="H285" t="s">
        <v>29</v>
      </c>
      <c r="I285">
        <v>120</v>
      </c>
      <c r="J285">
        <v>120.1</v>
      </c>
      <c r="L285" t="s">
        <v>12</v>
      </c>
      <c r="M285" t="b">
        <v>0</v>
      </c>
      <c r="O285" s="1">
        <v>46191.817291666666</v>
      </c>
    </row>
    <row r="286" spans="1:15" x14ac:dyDescent="0.25">
      <c r="A286">
        <v>1781792022</v>
      </c>
      <c r="B286" t="s">
        <v>476</v>
      </c>
      <c r="C286" t="s">
        <v>477</v>
      </c>
      <c r="D286" t="s">
        <v>478</v>
      </c>
      <c r="E286" t="s">
        <v>336</v>
      </c>
      <c r="F286">
        <v>250</v>
      </c>
      <c r="K286" s="1">
        <v>46191.884513888886</v>
      </c>
      <c r="M286" t="b">
        <v>0</v>
      </c>
      <c r="O286" s="1">
        <v>46191.884513888886</v>
      </c>
    </row>
    <row r="287" spans="1:15" x14ac:dyDescent="0.25">
      <c r="A287">
        <v>-1207615265</v>
      </c>
      <c r="B287" t="s">
        <v>476</v>
      </c>
      <c r="H287" t="s">
        <v>29</v>
      </c>
      <c r="I287">
        <v>7272.5</v>
      </c>
      <c r="J287">
        <v>7292.7</v>
      </c>
      <c r="L287" t="s">
        <v>12</v>
      </c>
      <c r="M287" t="b">
        <v>0</v>
      </c>
      <c r="O287" s="1">
        <v>46191.884513888886</v>
      </c>
    </row>
    <row r="288" spans="1:15" x14ac:dyDescent="0.25">
      <c r="A288">
        <v>771014964</v>
      </c>
      <c r="B288" t="s">
        <v>476</v>
      </c>
      <c r="G288">
        <v>35</v>
      </c>
      <c r="H288" t="s">
        <v>36</v>
      </c>
      <c r="I288">
        <v>662.5</v>
      </c>
      <c r="J288">
        <v>662.5</v>
      </c>
      <c r="L288" t="s">
        <v>12</v>
      </c>
      <c r="M288" t="b">
        <v>0</v>
      </c>
      <c r="O288" s="1">
        <v>46191.884513888886</v>
      </c>
    </row>
    <row r="289" spans="1:15" x14ac:dyDescent="0.25">
      <c r="A289">
        <v>1117433381</v>
      </c>
      <c r="B289" t="s">
        <v>476</v>
      </c>
      <c r="G289">
        <v>44</v>
      </c>
      <c r="H289" t="s">
        <v>16</v>
      </c>
      <c r="I289">
        <v>163.5</v>
      </c>
      <c r="J289">
        <v>162.69999999999999</v>
      </c>
      <c r="L289" t="s">
        <v>12</v>
      </c>
      <c r="M289" t="b">
        <v>0</v>
      </c>
      <c r="O289" s="1">
        <v>46191.884513888886</v>
      </c>
    </row>
    <row r="290" spans="1:15" x14ac:dyDescent="0.25">
      <c r="A290">
        <v>1781795633</v>
      </c>
      <c r="B290" t="s">
        <v>479</v>
      </c>
      <c r="C290" t="s">
        <v>466</v>
      </c>
      <c r="D290" t="s">
        <v>467</v>
      </c>
      <c r="E290" t="s">
        <v>340</v>
      </c>
      <c r="F290">
        <v>450</v>
      </c>
      <c r="K290" s="1">
        <v>46191.926307870373</v>
      </c>
      <c r="M290" t="b">
        <v>0</v>
      </c>
      <c r="O290" s="1">
        <v>46191.926307870373</v>
      </c>
    </row>
    <row r="291" spans="1:15" x14ac:dyDescent="0.25">
      <c r="A291">
        <v>74710430</v>
      </c>
      <c r="B291" t="s">
        <v>479</v>
      </c>
      <c r="G291">
        <v>35</v>
      </c>
      <c r="H291" t="s">
        <v>36</v>
      </c>
      <c r="I291">
        <v>247.5</v>
      </c>
      <c r="J291">
        <v>249.5</v>
      </c>
      <c r="L291" t="s">
        <v>12</v>
      </c>
      <c r="M291" t="b">
        <v>0</v>
      </c>
      <c r="O291" s="1">
        <v>46191.926307870373</v>
      </c>
    </row>
    <row r="292" spans="1:15" x14ac:dyDescent="0.25">
      <c r="A292">
        <v>-809531193</v>
      </c>
      <c r="B292" t="s">
        <v>479</v>
      </c>
      <c r="G292">
        <v>17</v>
      </c>
      <c r="H292" t="s">
        <v>134</v>
      </c>
      <c r="I292">
        <v>585</v>
      </c>
      <c r="J292">
        <v>586.20000000000005</v>
      </c>
      <c r="L292" t="s">
        <v>12</v>
      </c>
      <c r="M292" t="b">
        <v>0</v>
      </c>
      <c r="O292" s="1">
        <v>46191.926307870373</v>
      </c>
    </row>
    <row r="293" spans="1:15" x14ac:dyDescent="0.25">
      <c r="A293">
        <v>676189436</v>
      </c>
      <c r="B293" t="s">
        <v>479</v>
      </c>
      <c r="G293">
        <v>57</v>
      </c>
      <c r="H293" t="s">
        <v>17</v>
      </c>
      <c r="I293">
        <v>990</v>
      </c>
      <c r="J293">
        <v>989.9</v>
      </c>
      <c r="L293" t="s">
        <v>12</v>
      </c>
      <c r="M293" t="b">
        <v>0</v>
      </c>
      <c r="O293" s="1">
        <v>46191.926307870373</v>
      </c>
    </row>
    <row r="294" spans="1:15" x14ac:dyDescent="0.25">
      <c r="A294">
        <v>1443420237</v>
      </c>
      <c r="B294" t="s">
        <v>479</v>
      </c>
      <c r="G294">
        <v>41</v>
      </c>
      <c r="H294" t="s">
        <v>29</v>
      </c>
      <c r="I294">
        <v>180</v>
      </c>
      <c r="J294">
        <v>179.7</v>
      </c>
      <c r="L294" t="s">
        <v>12</v>
      </c>
      <c r="M294" t="b">
        <v>0</v>
      </c>
      <c r="O294" s="1">
        <v>46191.926307870373</v>
      </c>
    </row>
    <row r="295" spans="1:15" x14ac:dyDescent="0.25">
      <c r="A295">
        <v>1781799784</v>
      </c>
      <c r="B295" t="s">
        <v>480</v>
      </c>
      <c r="C295" t="s">
        <v>481</v>
      </c>
      <c r="D295" t="s">
        <v>482</v>
      </c>
      <c r="E295" t="s">
        <v>336</v>
      </c>
      <c r="F295">
        <v>50</v>
      </c>
      <c r="K295" s="1">
        <v>46191.974351851852</v>
      </c>
      <c r="M295" t="b">
        <v>0</v>
      </c>
      <c r="O295" s="1">
        <v>46191.974351851852</v>
      </c>
    </row>
    <row r="296" spans="1:15" x14ac:dyDescent="0.25">
      <c r="A296">
        <v>1304969545</v>
      </c>
      <c r="B296" t="s">
        <v>480</v>
      </c>
      <c r="G296">
        <v>41</v>
      </c>
      <c r="H296" t="s">
        <v>29</v>
      </c>
      <c r="I296">
        <v>625</v>
      </c>
      <c r="J296">
        <v>628.1</v>
      </c>
      <c r="L296" t="s">
        <v>12</v>
      </c>
      <c r="M296" t="b">
        <v>0</v>
      </c>
      <c r="O296" s="1">
        <v>46191.974351851852</v>
      </c>
    </row>
    <row r="297" spans="1:15" x14ac:dyDescent="0.25">
      <c r="A297">
        <v>1008406486</v>
      </c>
      <c r="B297" t="s">
        <v>480</v>
      </c>
      <c r="G297">
        <v>4</v>
      </c>
      <c r="H297" t="s">
        <v>27</v>
      </c>
      <c r="I297">
        <v>75</v>
      </c>
      <c r="J297">
        <v>76.3</v>
      </c>
      <c r="L297" t="s">
        <v>15</v>
      </c>
      <c r="M297" t="b">
        <v>0</v>
      </c>
      <c r="O297" s="1">
        <v>46191.974351851852</v>
      </c>
    </row>
    <row r="298" spans="1:15" x14ac:dyDescent="0.25">
      <c r="A298">
        <v>679218335</v>
      </c>
      <c r="B298" t="s">
        <v>480</v>
      </c>
      <c r="G298">
        <v>44</v>
      </c>
      <c r="H298" t="s">
        <v>16</v>
      </c>
      <c r="I298">
        <v>26</v>
      </c>
      <c r="J298">
        <v>26</v>
      </c>
      <c r="L298" t="s">
        <v>12</v>
      </c>
      <c r="M298" t="b">
        <v>0</v>
      </c>
      <c r="O298" s="1">
        <v>46191.974351851852</v>
      </c>
    </row>
    <row r="299" spans="1:15" x14ac:dyDescent="0.25">
      <c r="A299">
        <v>1781807787</v>
      </c>
      <c r="B299" t="s">
        <v>483</v>
      </c>
      <c r="C299" t="s">
        <v>484</v>
      </c>
      <c r="D299" t="s">
        <v>218</v>
      </c>
      <c r="E299" t="s">
        <v>485</v>
      </c>
      <c r="F299">
        <v>50</v>
      </c>
      <c r="K299" s="1">
        <v>46192.066979166666</v>
      </c>
      <c r="M299" t="b">
        <v>0</v>
      </c>
      <c r="O299" s="1">
        <v>46192.066979166666</v>
      </c>
    </row>
    <row r="300" spans="1:15" x14ac:dyDescent="0.25">
      <c r="A300">
        <v>732164624</v>
      </c>
      <c r="B300" t="s">
        <v>483</v>
      </c>
      <c r="G300">
        <v>3</v>
      </c>
      <c r="H300" t="s">
        <v>124</v>
      </c>
      <c r="I300">
        <v>68</v>
      </c>
      <c r="J300">
        <v>67.8</v>
      </c>
      <c r="L300" t="s">
        <v>12</v>
      </c>
      <c r="M300" t="b">
        <v>0</v>
      </c>
      <c r="O300" s="1">
        <v>46192.066979166666</v>
      </c>
    </row>
    <row r="301" spans="1:15" x14ac:dyDescent="0.25">
      <c r="A301">
        <v>726396113</v>
      </c>
      <c r="B301" t="s">
        <v>483</v>
      </c>
      <c r="G301">
        <v>50</v>
      </c>
      <c r="H301" t="s">
        <v>157</v>
      </c>
      <c r="I301">
        <v>10</v>
      </c>
      <c r="J301">
        <v>11.2</v>
      </c>
      <c r="L301" t="s">
        <v>15</v>
      </c>
      <c r="M301" t="b">
        <v>0</v>
      </c>
      <c r="O301" s="1">
        <v>46192.066979166666</v>
      </c>
    </row>
    <row r="302" spans="1:15" x14ac:dyDescent="0.25">
      <c r="A302">
        <v>-1302567234</v>
      </c>
      <c r="B302" t="s">
        <v>483</v>
      </c>
      <c r="G302">
        <v>57</v>
      </c>
      <c r="H302" t="s">
        <v>17</v>
      </c>
      <c r="I302">
        <v>130</v>
      </c>
      <c r="J302">
        <v>132.4</v>
      </c>
      <c r="L302" t="s">
        <v>15</v>
      </c>
      <c r="M302" t="b">
        <v>0</v>
      </c>
      <c r="O302" s="1">
        <v>46192.066979166666</v>
      </c>
    </row>
    <row r="303" spans="1:15" x14ac:dyDescent="0.25">
      <c r="A303">
        <v>1781809503</v>
      </c>
      <c r="B303" t="s">
        <v>486</v>
      </c>
      <c r="C303" t="s">
        <v>466</v>
      </c>
      <c r="D303" t="s">
        <v>467</v>
      </c>
      <c r="E303" t="s">
        <v>340</v>
      </c>
      <c r="F303">
        <v>450</v>
      </c>
      <c r="K303" s="1">
        <v>46192.086840277778</v>
      </c>
      <c r="M303" t="b">
        <v>0</v>
      </c>
      <c r="O303" s="1">
        <v>46192.086840277778</v>
      </c>
    </row>
    <row r="304" spans="1:15" x14ac:dyDescent="0.25">
      <c r="A304">
        <v>1521145780</v>
      </c>
      <c r="B304" t="s">
        <v>486</v>
      </c>
      <c r="G304">
        <v>35</v>
      </c>
      <c r="H304" t="s">
        <v>36</v>
      </c>
      <c r="I304">
        <v>247.5</v>
      </c>
      <c r="J304">
        <v>246.5</v>
      </c>
      <c r="L304" t="s">
        <v>12</v>
      </c>
      <c r="M304" t="b">
        <v>0</v>
      </c>
      <c r="O304" s="1">
        <v>46192.086840277778</v>
      </c>
    </row>
    <row r="305" spans="1:15" x14ac:dyDescent="0.25">
      <c r="A305">
        <v>-690773339</v>
      </c>
      <c r="B305" t="s">
        <v>486</v>
      </c>
      <c r="G305">
        <v>17</v>
      </c>
      <c r="H305" t="s">
        <v>134</v>
      </c>
      <c r="I305">
        <v>585</v>
      </c>
      <c r="J305">
        <v>589.70000000000005</v>
      </c>
      <c r="L305" t="s">
        <v>12</v>
      </c>
      <c r="M305" t="b">
        <v>0</v>
      </c>
      <c r="O305" s="1">
        <v>46192.086840277778</v>
      </c>
    </row>
    <row r="306" spans="1:15" x14ac:dyDescent="0.25">
      <c r="A306">
        <v>395564290</v>
      </c>
      <c r="B306" t="s">
        <v>486</v>
      </c>
      <c r="G306">
        <v>57</v>
      </c>
      <c r="H306" t="s">
        <v>17</v>
      </c>
      <c r="I306">
        <v>990</v>
      </c>
      <c r="J306">
        <v>994</v>
      </c>
      <c r="L306" t="s">
        <v>12</v>
      </c>
      <c r="M306" t="b">
        <v>0</v>
      </c>
      <c r="O306" s="1">
        <v>46192.086840277778</v>
      </c>
    </row>
    <row r="307" spans="1:15" x14ac:dyDescent="0.25">
      <c r="A307">
        <v>-1394852517</v>
      </c>
      <c r="B307" t="s">
        <v>486</v>
      </c>
      <c r="G307">
        <v>41</v>
      </c>
      <c r="H307" t="s">
        <v>29</v>
      </c>
      <c r="I307">
        <v>180</v>
      </c>
      <c r="J307">
        <v>184.1</v>
      </c>
      <c r="L307" t="s">
        <v>15</v>
      </c>
      <c r="M307" t="b">
        <v>0</v>
      </c>
      <c r="O307" s="1">
        <v>46192.086840277778</v>
      </c>
    </row>
    <row r="308" spans="1:15" x14ac:dyDescent="0.25">
      <c r="A308">
        <v>1781809706</v>
      </c>
      <c r="B308" t="s">
        <v>487</v>
      </c>
      <c r="C308" t="s">
        <v>466</v>
      </c>
      <c r="D308" t="s">
        <v>467</v>
      </c>
      <c r="E308" t="s">
        <v>313</v>
      </c>
      <c r="F308">
        <v>450</v>
      </c>
      <c r="K308" s="1">
        <v>46192.089178240742</v>
      </c>
      <c r="M308" t="b">
        <v>0</v>
      </c>
      <c r="O308" s="1">
        <v>46192.089178240742</v>
      </c>
    </row>
    <row r="309" spans="1:15" x14ac:dyDescent="0.25">
      <c r="A309">
        <v>-685679261</v>
      </c>
      <c r="B309" t="s">
        <v>487</v>
      </c>
      <c r="G309">
        <v>35</v>
      </c>
      <c r="H309" t="s">
        <v>36</v>
      </c>
      <c r="I309">
        <v>247.5</v>
      </c>
      <c r="J309">
        <v>248.7</v>
      </c>
      <c r="L309" t="s">
        <v>12</v>
      </c>
      <c r="M309" t="b">
        <v>0</v>
      </c>
      <c r="O309" s="1">
        <v>46192.089178240742</v>
      </c>
    </row>
    <row r="310" spans="1:15" x14ac:dyDescent="0.25">
      <c r="A310">
        <v>1954831464</v>
      </c>
      <c r="B310" t="s">
        <v>487</v>
      </c>
      <c r="G310">
        <v>17</v>
      </c>
      <c r="H310" t="s">
        <v>134</v>
      </c>
      <c r="I310">
        <v>585</v>
      </c>
      <c r="J310">
        <v>587.6</v>
      </c>
      <c r="L310" t="s">
        <v>12</v>
      </c>
      <c r="M310" t="b">
        <v>0</v>
      </c>
      <c r="O310" s="1">
        <v>46192.089178240742</v>
      </c>
    </row>
    <row r="311" spans="1:15" x14ac:dyDescent="0.25">
      <c r="A311">
        <v>2018094665</v>
      </c>
      <c r="B311" t="s">
        <v>487</v>
      </c>
      <c r="G311">
        <v>57</v>
      </c>
      <c r="H311" t="s">
        <v>17</v>
      </c>
      <c r="I311">
        <v>990</v>
      </c>
      <c r="J311">
        <v>992.2</v>
      </c>
      <c r="L311" t="s">
        <v>12</v>
      </c>
      <c r="M311" t="b">
        <v>0</v>
      </c>
      <c r="O311" s="1">
        <v>46192.089178240742</v>
      </c>
    </row>
    <row r="312" spans="1:15" x14ac:dyDescent="0.25">
      <c r="A312">
        <v>1019820246</v>
      </c>
      <c r="B312" t="s">
        <v>487</v>
      </c>
      <c r="G312">
        <v>41</v>
      </c>
      <c r="H312" t="s">
        <v>29</v>
      </c>
      <c r="I312">
        <v>180</v>
      </c>
      <c r="J312">
        <v>182.2</v>
      </c>
      <c r="L312" t="s">
        <v>15</v>
      </c>
      <c r="M312" t="b">
        <v>0</v>
      </c>
      <c r="O312" s="1">
        <v>46192.089178240742</v>
      </c>
    </row>
    <row r="313" spans="1:15" x14ac:dyDescent="0.25">
      <c r="A313">
        <v>1781829925</v>
      </c>
      <c r="B313" t="s">
        <v>488</v>
      </c>
      <c r="C313" t="s">
        <v>466</v>
      </c>
      <c r="D313" t="s">
        <v>467</v>
      </c>
      <c r="E313" t="s">
        <v>340</v>
      </c>
      <c r="F313">
        <v>450</v>
      </c>
      <c r="K313" s="1">
        <v>46192.323194444441</v>
      </c>
      <c r="M313" t="b">
        <v>0</v>
      </c>
      <c r="O313" s="1">
        <v>46192.323194444441</v>
      </c>
    </row>
    <row r="314" spans="1:15" x14ac:dyDescent="0.25">
      <c r="A314">
        <v>904184194</v>
      </c>
      <c r="B314" t="s">
        <v>488</v>
      </c>
      <c r="G314">
        <v>35</v>
      </c>
      <c r="H314" t="s">
        <v>36</v>
      </c>
      <c r="I314">
        <v>247.5</v>
      </c>
      <c r="J314">
        <v>245.6</v>
      </c>
      <c r="L314" t="s">
        <v>12</v>
      </c>
      <c r="M314" t="b">
        <v>0</v>
      </c>
      <c r="O314" s="1">
        <v>46192.323194444441</v>
      </c>
    </row>
    <row r="315" spans="1:15" x14ac:dyDescent="0.25">
      <c r="A315">
        <v>1435553755</v>
      </c>
      <c r="B315" t="s">
        <v>488</v>
      </c>
      <c r="G315">
        <v>17</v>
      </c>
      <c r="H315" t="s">
        <v>134</v>
      </c>
      <c r="I315">
        <v>585</v>
      </c>
      <c r="J315">
        <v>579.29999999999995</v>
      </c>
      <c r="L315" t="s">
        <v>12</v>
      </c>
      <c r="M315" t="b">
        <v>0</v>
      </c>
      <c r="O315" s="1">
        <v>46192.323194444441</v>
      </c>
    </row>
    <row r="316" spans="1:15" x14ac:dyDescent="0.25">
      <c r="A316">
        <v>351488896</v>
      </c>
      <c r="B316" t="s">
        <v>488</v>
      </c>
      <c r="G316">
        <v>57</v>
      </c>
      <c r="H316" t="s">
        <v>17</v>
      </c>
      <c r="I316">
        <v>990</v>
      </c>
      <c r="J316">
        <v>998.5</v>
      </c>
      <c r="L316" t="s">
        <v>12</v>
      </c>
      <c r="M316" t="b">
        <v>0</v>
      </c>
      <c r="O316" s="1">
        <v>46192.323194444441</v>
      </c>
    </row>
    <row r="317" spans="1:15" x14ac:dyDescent="0.25">
      <c r="A317">
        <v>-1533459071</v>
      </c>
      <c r="B317" t="s">
        <v>488</v>
      </c>
      <c r="G317">
        <v>41</v>
      </c>
      <c r="H317" t="s">
        <v>29</v>
      </c>
      <c r="I317">
        <v>180</v>
      </c>
      <c r="J317">
        <v>180.5</v>
      </c>
      <c r="L317" t="s">
        <v>12</v>
      </c>
      <c r="M317" t="b">
        <v>0</v>
      </c>
      <c r="O317" s="1">
        <v>46192.323194444441</v>
      </c>
    </row>
    <row r="318" spans="1:15" x14ac:dyDescent="0.25">
      <c r="A318">
        <v>1781835361</v>
      </c>
      <c r="B318" t="s">
        <v>489</v>
      </c>
      <c r="C318" t="s">
        <v>490</v>
      </c>
      <c r="D318" t="s">
        <v>491</v>
      </c>
      <c r="E318" t="s">
        <v>313</v>
      </c>
      <c r="F318">
        <v>250</v>
      </c>
      <c r="K318" s="1">
        <v>46192.386122685188</v>
      </c>
      <c r="M318" t="b">
        <v>0</v>
      </c>
      <c r="O318" s="1">
        <v>46192.386122685188</v>
      </c>
    </row>
    <row r="319" spans="1:15" x14ac:dyDescent="0.25">
      <c r="A319">
        <v>1811703054</v>
      </c>
      <c r="B319" t="s">
        <v>489</v>
      </c>
      <c r="G319">
        <v>54</v>
      </c>
      <c r="H319" t="s">
        <v>162</v>
      </c>
      <c r="I319">
        <v>184.5</v>
      </c>
      <c r="J319">
        <v>184.1</v>
      </c>
      <c r="L319" t="s">
        <v>12</v>
      </c>
      <c r="M319" t="b">
        <v>0</v>
      </c>
      <c r="O319" s="1">
        <v>46192.386122685188</v>
      </c>
    </row>
    <row r="320" spans="1:15" x14ac:dyDescent="0.25">
      <c r="A320">
        <v>1000888183</v>
      </c>
      <c r="B320" t="s">
        <v>489</v>
      </c>
      <c r="G320">
        <v>33</v>
      </c>
      <c r="H320" t="s">
        <v>149</v>
      </c>
      <c r="I320">
        <v>37.25</v>
      </c>
      <c r="J320">
        <v>37.299999999999997</v>
      </c>
      <c r="L320" t="s">
        <v>12</v>
      </c>
      <c r="M320" t="b">
        <v>0</v>
      </c>
      <c r="O320" s="1">
        <v>46192.386122685188</v>
      </c>
    </row>
    <row r="321" spans="1:15" x14ac:dyDescent="0.25">
      <c r="A321">
        <v>-2048112148</v>
      </c>
      <c r="B321" t="s">
        <v>489</v>
      </c>
      <c r="G321">
        <v>41</v>
      </c>
      <c r="H321" t="s">
        <v>29</v>
      </c>
      <c r="I321">
        <v>2925</v>
      </c>
      <c r="J321">
        <v>2948.8</v>
      </c>
      <c r="L321" t="s">
        <v>12</v>
      </c>
      <c r="M321" t="b">
        <v>0</v>
      </c>
      <c r="O321" s="1">
        <v>46192.386122685188</v>
      </c>
    </row>
    <row r="322" spans="1:15" x14ac:dyDescent="0.25">
      <c r="A322">
        <v>-1275918723</v>
      </c>
      <c r="B322" t="s">
        <v>489</v>
      </c>
      <c r="G322">
        <v>59</v>
      </c>
      <c r="H322" t="s">
        <v>31</v>
      </c>
      <c r="I322">
        <v>125</v>
      </c>
      <c r="J322">
        <v>124.4</v>
      </c>
      <c r="L322" t="s">
        <v>12</v>
      </c>
      <c r="M322" t="b">
        <v>0</v>
      </c>
      <c r="O322" s="1">
        <v>46192.386122685188</v>
      </c>
    </row>
    <row r="323" spans="1:15" x14ac:dyDescent="0.25">
      <c r="A323">
        <v>1781844031</v>
      </c>
      <c r="B323" t="s">
        <v>492</v>
      </c>
      <c r="C323" t="s">
        <v>452</v>
      </c>
      <c r="D323" t="s">
        <v>453</v>
      </c>
      <c r="E323" t="s">
        <v>340</v>
      </c>
      <c r="F323">
        <v>450</v>
      </c>
      <c r="K323" s="1">
        <v>46192.486458333333</v>
      </c>
      <c r="M323" t="b">
        <v>0</v>
      </c>
      <c r="O323" s="1">
        <v>46192.486458333333</v>
      </c>
    </row>
    <row r="324" spans="1:15" x14ac:dyDescent="0.25">
      <c r="A324">
        <v>737135892</v>
      </c>
      <c r="B324" t="s">
        <v>492</v>
      </c>
      <c r="G324">
        <v>41</v>
      </c>
      <c r="H324" t="s">
        <v>29</v>
      </c>
      <c r="I324">
        <v>5130</v>
      </c>
      <c r="J324">
        <v>5168.3999999999996</v>
      </c>
      <c r="L324" t="s">
        <v>12</v>
      </c>
      <c r="M324" t="b">
        <v>0</v>
      </c>
      <c r="O324" s="1">
        <v>46192.486458333333</v>
      </c>
    </row>
    <row r="325" spans="1:15" x14ac:dyDescent="0.25">
      <c r="A325">
        <v>208077957</v>
      </c>
      <c r="B325" t="s">
        <v>492</v>
      </c>
      <c r="G325">
        <v>35</v>
      </c>
      <c r="H325" t="s">
        <v>36</v>
      </c>
      <c r="I325">
        <v>326.7</v>
      </c>
      <c r="J325">
        <v>326.89999999999998</v>
      </c>
      <c r="L325" t="s">
        <v>12</v>
      </c>
      <c r="M325" t="b">
        <v>0</v>
      </c>
      <c r="O325" s="1">
        <v>46192.486458333333</v>
      </c>
    </row>
    <row r="326" spans="1:15" x14ac:dyDescent="0.25">
      <c r="A326">
        <v>74140002</v>
      </c>
      <c r="B326" t="s">
        <v>492</v>
      </c>
      <c r="G326">
        <v>44</v>
      </c>
      <c r="H326" t="s">
        <v>16</v>
      </c>
      <c r="I326">
        <v>72.900000000000006</v>
      </c>
      <c r="J326">
        <v>72.3</v>
      </c>
      <c r="L326" t="s">
        <v>12</v>
      </c>
      <c r="M326" t="b">
        <v>0</v>
      </c>
      <c r="O326" s="1">
        <v>46192.486458333333</v>
      </c>
    </row>
    <row r="327" spans="1:15" x14ac:dyDescent="0.25">
      <c r="A327">
        <v>1781849828</v>
      </c>
      <c r="B327" t="s">
        <v>493</v>
      </c>
      <c r="C327" t="s">
        <v>345</v>
      </c>
      <c r="D327" t="s">
        <v>494</v>
      </c>
      <c r="E327" t="s">
        <v>336</v>
      </c>
      <c r="F327">
        <v>50</v>
      </c>
      <c r="K327" s="1">
        <v>46192.553564814814</v>
      </c>
      <c r="M327" t="b">
        <v>0</v>
      </c>
      <c r="O327" s="1">
        <v>46192.553564814814</v>
      </c>
    </row>
    <row r="328" spans="1:15" x14ac:dyDescent="0.25">
      <c r="A328">
        <v>1888224789</v>
      </c>
      <c r="B328" t="s">
        <v>493</v>
      </c>
      <c r="G328">
        <v>41</v>
      </c>
      <c r="H328" t="s">
        <v>29</v>
      </c>
      <c r="I328">
        <v>202.5</v>
      </c>
      <c r="J328">
        <v>202.22</v>
      </c>
      <c r="L328" t="s">
        <v>12</v>
      </c>
      <c r="M328" t="b">
        <v>0</v>
      </c>
      <c r="O328" s="1">
        <v>46192.553564814814</v>
      </c>
    </row>
    <row r="329" spans="1:15" x14ac:dyDescent="0.25">
      <c r="A329">
        <v>1918103474</v>
      </c>
      <c r="B329" t="s">
        <v>493</v>
      </c>
      <c r="G329">
        <v>35</v>
      </c>
      <c r="H329" t="s">
        <v>36</v>
      </c>
      <c r="I329">
        <v>36.5</v>
      </c>
      <c r="J329">
        <v>36.51</v>
      </c>
      <c r="L329" t="s">
        <v>12</v>
      </c>
      <c r="M329" t="b">
        <v>0</v>
      </c>
      <c r="O329" s="1">
        <v>46192.553564814814</v>
      </c>
    </row>
    <row r="330" spans="1:15" x14ac:dyDescent="0.25">
      <c r="A330">
        <v>1956318795</v>
      </c>
      <c r="B330" t="s">
        <v>493</v>
      </c>
      <c r="G330">
        <v>16</v>
      </c>
      <c r="H330" t="s">
        <v>13</v>
      </c>
      <c r="I330">
        <v>25</v>
      </c>
      <c r="J330">
        <v>25.17</v>
      </c>
      <c r="L330" t="s">
        <v>12</v>
      </c>
      <c r="M330" t="b">
        <v>0</v>
      </c>
      <c r="O330" s="1">
        <v>46192.553564814814</v>
      </c>
    </row>
    <row r="331" spans="1:15" x14ac:dyDescent="0.25">
      <c r="A331">
        <v>1781850811</v>
      </c>
      <c r="B331" t="s">
        <v>495</v>
      </c>
      <c r="C331" t="s">
        <v>402</v>
      </c>
      <c r="D331" t="s">
        <v>403</v>
      </c>
      <c r="E331" t="s">
        <v>364</v>
      </c>
      <c r="F331">
        <v>50</v>
      </c>
      <c r="K331" s="1">
        <v>46192.564942129633</v>
      </c>
      <c r="M331" t="b">
        <v>0</v>
      </c>
      <c r="O331" s="1">
        <v>46192.564942129633</v>
      </c>
    </row>
    <row r="332" spans="1:15" x14ac:dyDescent="0.25">
      <c r="A332">
        <v>1992285408</v>
      </c>
      <c r="B332" t="s">
        <v>495</v>
      </c>
      <c r="G332">
        <v>41</v>
      </c>
      <c r="H332" t="s">
        <v>29</v>
      </c>
      <c r="I332">
        <v>186</v>
      </c>
      <c r="J332">
        <v>187.26</v>
      </c>
      <c r="L332" t="s">
        <v>12</v>
      </c>
      <c r="M332" t="b">
        <v>0</v>
      </c>
      <c r="O332" s="1">
        <v>46192.564942129633</v>
      </c>
    </row>
    <row r="333" spans="1:15" x14ac:dyDescent="0.25">
      <c r="A333">
        <v>405476193</v>
      </c>
      <c r="B333" t="s">
        <v>495</v>
      </c>
      <c r="G333">
        <v>59</v>
      </c>
      <c r="H333" t="s">
        <v>31</v>
      </c>
      <c r="I333">
        <v>10.7</v>
      </c>
      <c r="J333">
        <v>10.68</v>
      </c>
      <c r="L333" t="s">
        <v>12</v>
      </c>
      <c r="M333" t="b">
        <v>0</v>
      </c>
      <c r="O333" s="1">
        <v>46192.564942129633</v>
      </c>
    </row>
    <row r="334" spans="1:15" x14ac:dyDescent="0.25">
      <c r="A334">
        <v>-1506046450</v>
      </c>
      <c r="B334" t="s">
        <v>495</v>
      </c>
      <c r="G334">
        <v>35</v>
      </c>
      <c r="H334" t="s">
        <v>36</v>
      </c>
      <c r="I334">
        <v>21.55</v>
      </c>
      <c r="J334">
        <v>21.6</v>
      </c>
      <c r="L334" t="s">
        <v>12</v>
      </c>
      <c r="M334" t="b">
        <v>0</v>
      </c>
      <c r="O334" s="1">
        <v>46192.564942129633</v>
      </c>
    </row>
    <row r="335" spans="1:15" x14ac:dyDescent="0.25">
      <c r="A335">
        <v>2006486135</v>
      </c>
      <c r="B335" t="s">
        <v>495</v>
      </c>
      <c r="G335">
        <v>44</v>
      </c>
      <c r="H335" t="s">
        <v>16</v>
      </c>
      <c r="I335">
        <v>7.15</v>
      </c>
      <c r="J335">
        <v>7.15</v>
      </c>
      <c r="L335" t="s">
        <v>12</v>
      </c>
      <c r="M335" t="b">
        <v>0</v>
      </c>
      <c r="O335" s="1">
        <v>46192.564942129633</v>
      </c>
    </row>
    <row r="336" spans="1:15" x14ac:dyDescent="0.25">
      <c r="A336">
        <v>1781854605</v>
      </c>
      <c r="B336" t="s">
        <v>496</v>
      </c>
      <c r="C336" t="s">
        <v>379</v>
      </c>
      <c r="D336" t="s">
        <v>497</v>
      </c>
      <c r="E336" t="s">
        <v>340</v>
      </c>
      <c r="F336">
        <v>120</v>
      </c>
      <c r="K336" s="1">
        <v>46192.608854166669</v>
      </c>
      <c r="M336" t="b">
        <v>0</v>
      </c>
      <c r="O336" s="1">
        <v>46192.608854166669</v>
      </c>
    </row>
    <row r="337" spans="1:15" x14ac:dyDescent="0.25">
      <c r="A337">
        <v>-1634524214</v>
      </c>
      <c r="B337" t="s">
        <v>496</v>
      </c>
      <c r="G337">
        <v>41</v>
      </c>
      <c r="H337" t="s">
        <v>29</v>
      </c>
      <c r="I337">
        <v>600</v>
      </c>
      <c r="J337">
        <v>602.20000000000005</v>
      </c>
      <c r="L337" t="s">
        <v>12</v>
      </c>
      <c r="M337" t="b">
        <v>0</v>
      </c>
      <c r="O337" s="1">
        <v>46192.608854166669</v>
      </c>
    </row>
    <row r="338" spans="1:15" x14ac:dyDescent="0.25">
      <c r="A338">
        <v>1781854933</v>
      </c>
      <c r="B338" t="s">
        <v>498</v>
      </c>
      <c r="C338" t="s">
        <v>379</v>
      </c>
      <c r="D338" t="s">
        <v>218</v>
      </c>
      <c r="E338" t="s">
        <v>336</v>
      </c>
      <c r="F338">
        <v>120</v>
      </c>
      <c r="K338" s="1">
        <v>46192.612650462965</v>
      </c>
      <c r="M338" t="b">
        <v>0</v>
      </c>
      <c r="O338" s="1">
        <v>46192.612650462965</v>
      </c>
    </row>
    <row r="339" spans="1:15" x14ac:dyDescent="0.25">
      <c r="A339">
        <v>-1984295566</v>
      </c>
      <c r="B339" t="s">
        <v>498</v>
      </c>
      <c r="G339">
        <v>41</v>
      </c>
      <c r="H339" t="s">
        <v>29</v>
      </c>
      <c r="I339">
        <v>600</v>
      </c>
      <c r="J339">
        <v>603.1</v>
      </c>
      <c r="L339" t="s">
        <v>12</v>
      </c>
      <c r="M339" t="b">
        <v>0</v>
      </c>
      <c r="O339" s="1">
        <v>46192.612650462965</v>
      </c>
    </row>
    <row r="340" spans="1:15" x14ac:dyDescent="0.25">
      <c r="A340">
        <v>1781871446</v>
      </c>
      <c r="B340" t="s">
        <v>499</v>
      </c>
      <c r="C340" t="s">
        <v>430</v>
      </c>
      <c r="D340" t="s">
        <v>500</v>
      </c>
      <c r="E340" t="s">
        <v>313</v>
      </c>
      <c r="F340">
        <v>250</v>
      </c>
      <c r="K340" s="1">
        <v>46192.803773148145</v>
      </c>
      <c r="M340" t="b">
        <v>0</v>
      </c>
      <c r="O340" s="1">
        <v>46192.803773148145</v>
      </c>
    </row>
    <row r="341" spans="1:15" x14ac:dyDescent="0.25">
      <c r="A341">
        <v>519653919</v>
      </c>
      <c r="B341" t="s">
        <v>499</v>
      </c>
      <c r="G341">
        <v>41</v>
      </c>
      <c r="H341" t="s">
        <v>29</v>
      </c>
      <c r="I341">
        <v>3000</v>
      </c>
      <c r="J341">
        <v>2993.2</v>
      </c>
      <c r="L341" t="s">
        <v>12</v>
      </c>
      <c r="M341" t="b">
        <v>0</v>
      </c>
      <c r="O341" s="1">
        <v>46192.803773148145</v>
      </c>
    </row>
    <row r="342" spans="1:15" x14ac:dyDescent="0.25">
      <c r="A342">
        <v>-1758862988</v>
      </c>
      <c r="B342" t="s">
        <v>499</v>
      </c>
      <c r="G342">
        <v>35</v>
      </c>
      <c r="H342" t="s">
        <v>36</v>
      </c>
      <c r="I342">
        <v>465</v>
      </c>
      <c r="J342">
        <v>465.7</v>
      </c>
      <c r="L342" t="s">
        <v>12</v>
      </c>
      <c r="M342" t="b">
        <v>0</v>
      </c>
      <c r="O342" s="1">
        <v>46192.803773148145</v>
      </c>
    </row>
    <row r="343" spans="1:15" x14ac:dyDescent="0.25">
      <c r="A343">
        <v>1273682277</v>
      </c>
      <c r="B343" t="s">
        <v>499</v>
      </c>
      <c r="G343">
        <v>44</v>
      </c>
      <c r="H343" t="s">
        <v>16</v>
      </c>
      <c r="I343">
        <v>185</v>
      </c>
      <c r="J343">
        <v>185.9</v>
      </c>
      <c r="L343" t="s">
        <v>12</v>
      </c>
      <c r="M343" t="b">
        <v>0</v>
      </c>
      <c r="O343" s="1">
        <v>46192.803773148145</v>
      </c>
    </row>
    <row r="344" spans="1:15" x14ac:dyDescent="0.25">
      <c r="A344">
        <v>1781871681</v>
      </c>
      <c r="B344" t="s">
        <v>501</v>
      </c>
      <c r="C344" t="s">
        <v>502</v>
      </c>
      <c r="D344" t="s">
        <v>503</v>
      </c>
      <c r="E344" t="s">
        <v>340</v>
      </c>
      <c r="F344">
        <v>430</v>
      </c>
      <c r="K344" s="1">
        <v>46192.806493055556</v>
      </c>
      <c r="M344" t="b">
        <v>0</v>
      </c>
      <c r="O344" s="1">
        <v>46192.806493055556</v>
      </c>
    </row>
    <row r="345" spans="1:15" x14ac:dyDescent="0.25">
      <c r="A345">
        <v>59544942</v>
      </c>
      <c r="B345" t="s">
        <v>501</v>
      </c>
      <c r="G345">
        <v>41</v>
      </c>
      <c r="H345" t="s">
        <v>29</v>
      </c>
      <c r="I345">
        <v>5805</v>
      </c>
      <c r="J345">
        <v>5808.3</v>
      </c>
      <c r="L345" t="s">
        <v>12</v>
      </c>
      <c r="M345" t="b">
        <v>0</v>
      </c>
      <c r="O345" s="1">
        <v>46192.806493055556</v>
      </c>
    </row>
    <row r="346" spans="1:15" x14ac:dyDescent="0.25">
      <c r="A346">
        <v>-1552476073</v>
      </c>
      <c r="B346" t="s">
        <v>501</v>
      </c>
      <c r="G346">
        <v>0</v>
      </c>
      <c r="H346" t="s">
        <v>193</v>
      </c>
      <c r="I346">
        <v>172</v>
      </c>
      <c r="J346">
        <v>172.5</v>
      </c>
      <c r="L346" t="s">
        <v>12</v>
      </c>
      <c r="M346" t="b">
        <v>0</v>
      </c>
      <c r="O346" s="1">
        <v>46192.806493055556</v>
      </c>
    </row>
    <row r="347" spans="1:15" x14ac:dyDescent="0.25">
      <c r="A347">
        <v>1781872778</v>
      </c>
      <c r="B347" t="s">
        <v>504</v>
      </c>
      <c r="C347" t="s">
        <v>505</v>
      </c>
      <c r="D347" t="s">
        <v>428</v>
      </c>
      <c r="E347" t="s">
        <v>336</v>
      </c>
      <c r="F347">
        <v>50</v>
      </c>
      <c r="K347" s="1">
        <v>46192.819178240738</v>
      </c>
      <c r="M347" t="b">
        <v>0</v>
      </c>
      <c r="O347" s="1">
        <v>46192.819178240738</v>
      </c>
    </row>
    <row r="348" spans="1:15" x14ac:dyDescent="0.25">
      <c r="A348">
        <v>1822878787</v>
      </c>
      <c r="B348" t="s">
        <v>504</v>
      </c>
      <c r="G348">
        <v>55</v>
      </c>
      <c r="H348" t="s">
        <v>29</v>
      </c>
      <c r="I348">
        <v>192.5</v>
      </c>
      <c r="J348">
        <v>193.2</v>
      </c>
      <c r="L348" t="s">
        <v>12</v>
      </c>
      <c r="M348" t="b">
        <v>0</v>
      </c>
      <c r="O348" s="1">
        <v>46192.819178240738</v>
      </c>
    </row>
    <row r="349" spans="1:15" x14ac:dyDescent="0.25">
      <c r="A349">
        <v>324778440</v>
      </c>
      <c r="B349" t="s">
        <v>504</v>
      </c>
      <c r="G349">
        <v>35</v>
      </c>
      <c r="H349" t="s">
        <v>36</v>
      </c>
      <c r="I349">
        <v>50</v>
      </c>
      <c r="J349">
        <v>50</v>
      </c>
      <c r="L349" t="s">
        <v>12</v>
      </c>
      <c r="M349" t="b">
        <v>0</v>
      </c>
      <c r="O349" s="1">
        <v>46192.819178240738</v>
      </c>
    </row>
    <row r="350" spans="1:15" x14ac:dyDescent="0.25">
      <c r="A350">
        <v>1510561833</v>
      </c>
      <c r="B350" t="s">
        <v>504</v>
      </c>
      <c r="G350">
        <v>16</v>
      </c>
      <c r="H350" t="s">
        <v>13</v>
      </c>
      <c r="I350">
        <v>15.5</v>
      </c>
      <c r="J350">
        <v>15.5</v>
      </c>
      <c r="L350" t="s">
        <v>12</v>
      </c>
      <c r="M350" t="b">
        <v>0</v>
      </c>
      <c r="O350" s="1">
        <v>46192.819178240738</v>
      </c>
    </row>
    <row r="351" spans="1:15" x14ac:dyDescent="0.25">
      <c r="A351">
        <v>1781878075</v>
      </c>
      <c r="B351" t="s">
        <v>506</v>
      </c>
      <c r="C351" t="s">
        <v>507</v>
      </c>
      <c r="D351" t="s">
        <v>217</v>
      </c>
      <c r="E351" t="s">
        <v>336</v>
      </c>
      <c r="F351">
        <v>120</v>
      </c>
      <c r="K351" s="1">
        <v>46192.880497685182</v>
      </c>
      <c r="M351" t="b">
        <v>0</v>
      </c>
      <c r="O351" s="1">
        <v>46192.880497685182</v>
      </c>
    </row>
    <row r="352" spans="1:15" x14ac:dyDescent="0.25">
      <c r="A352">
        <v>-159279776</v>
      </c>
      <c r="B352" t="s">
        <v>506</v>
      </c>
      <c r="G352">
        <v>41</v>
      </c>
      <c r="H352" t="s">
        <v>29</v>
      </c>
      <c r="I352">
        <v>2400</v>
      </c>
      <c r="J352">
        <v>2418.9</v>
      </c>
      <c r="L352" t="s">
        <v>12</v>
      </c>
      <c r="M352" t="b">
        <v>0</v>
      </c>
      <c r="O352" s="1">
        <v>46192.880497685182</v>
      </c>
    </row>
    <row r="353" spans="1:15" x14ac:dyDescent="0.25">
      <c r="A353">
        <v>956006881</v>
      </c>
      <c r="B353" t="s">
        <v>506</v>
      </c>
      <c r="G353">
        <v>75</v>
      </c>
      <c r="H353" t="s">
        <v>173</v>
      </c>
      <c r="I353">
        <v>108</v>
      </c>
      <c r="J353">
        <v>110</v>
      </c>
      <c r="L353" t="s">
        <v>15</v>
      </c>
      <c r="M353" t="b">
        <v>0</v>
      </c>
      <c r="O353" s="1">
        <v>46192.880497685182</v>
      </c>
    </row>
    <row r="354" spans="1:15" x14ac:dyDescent="0.25">
      <c r="A354">
        <v>-836371826</v>
      </c>
      <c r="B354" t="s">
        <v>506</v>
      </c>
      <c r="G354">
        <v>35</v>
      </c>
      <c r="H354" t="s">
        <v>36</v>
      </c>
      <c r="I354">
        <v>304.8</v>
      </c>
      <c r="J354">
        <v>304.3</v>
      </c>
      <c r="L354" t="s">
        <v>12</v>
      </c>
      <c r="M354" t="b">
        <v>0</v>
      </c>
      <c r="O354" s="1">
        <v>46192.880497685182</v>
      </c>
    </row>
    <row r="355" spans="1:15" x14ac:dyDescent="0.25">
      <c r="A355">
        <v>-1186423049</v>
      </c>
      <c r="B355" t="s">
        <v>506</v>
      </c>
      <c r="G355">
        <v>11</v>
      </c>
      <c r="H355" t="s">
        <v>33</v>
      </c>
      <c r="I355">
        <v>21.84</v>
      </c>
      <c r="J355">
        <v>22.2</v>
      </c>
      <c r="L355" t="s">
        <v>15</v>
      </c>
      <c r="M355" t="b">
        <v>0</v>
      </c>
      <c r="O355" s="1">
        <v>46192.880497685182</v>
      </c>
    </row>
    <row r="356" spans="1:15" x14ac:dyDescent="0.25">
      <c r="A356">
        <v>1781882427</v>
      </c>
      <c r="B356" t="s">
        <v>508</v>
      </c>
      <c r="C356" t="s">
        <v>342</v>
      </c>
      <c r="D356" t="s">
        <v>217</v>
      </c>
      <c r="E356" t="s">
        <v>336</v>
      </c>
      <c r="F356">
        <v>260</v>
      </c>
      <c r="K356" s="1">
        <v>46192.930868055555</v>
      </c>
      <c r="M356" t="b">
        <v>0</v>
      </c>
      <c r="O356" s="1">
        <v>46192.930868055555</v>
      </c>
    </row>
    <row r="357" spans="1:15" x14ac:dyDescent="0.25">
      <c r="A357">
        <v>1170903648</v>
      </c>
      <c r="B357" t="s">
        <v>508</v>
      </c>
      <c r="G357">
        <v>41</v>
      </c>
      <c r="H357" t="s">
        <v>29</v>
      </c>
      <c r="I357">
        <v>6500</v>
      </c>
      <c r="J357">
        <v>6486.8</v>
      </c>
      <c r="L357" t="s">
        <v>12</v>
      </c>
      <c r="M357" t="b">
        <v>0</v>
      </c>
      <c r="O357" s="1">
        <v>46192.930868055555</v>
      </c>
    </row>
    <row r="358" spans="1:15" x14ac:dyDescent="0.25">
      <c r="A358">
        <v>-65144095</v>
      </c>
      <c r="B358" t="s">
        <v>508</v>
      </c>
      <c r="G358">
        <v>35</v>
      </c>
      <c r="H358" t="s">
        <v>36</v>
      </c>
      <c r="I358">
        <v>390</v>
      </c>
      <c r="J358">
        <v>390.9</v>
      </c>
      <c r="L358" t="s">
        <v>12</v>
      </c>
      <c r="M358" t="b">
        <v>0</v>
      </c>
      <c r="O358" s="1">
        <v>46192.930868055555</v>
      </c>
    </row>
    <row r="359" spans="1:15" x14ac:dyDescent="0.25">
      <c r="A359">
        <v>1407926158</v>
      </c>
      <c r="B359" t="s">
        <v>508</v>
      </c>
      <c r="G359">
        <v>16</v>
      </c>
      <c r="H359" t="s">
        <v>13</v>
      </c>
      <c r="I359">
        <v>159.9</v>
      </c>
      <c r="J359">
        <v>160.5</v>
      </c>
      <c r="L359" t="s">
        <v>12</v>
      </c>
      <c r="M359" t="b">
        <v>0</v>
      </c>
      <c r="O359" s="1">
        <v>46192.930868055555</v>
      </c>
    </row>
    <row r="360" spans="1:15" x14ac:dyDescent="0.25">
      <c r="A360">
        <v>1781886334</v>
      </c>
      <c r="B360" t="s">
        <v>509</v>
      </c>
      <c r="C360" t="s">
        <v>510</v>
      </c>
      <c r="D360" t="s">
        <v>511</v>
      </c>
      <c r="E360" t="s">
        <v>340</v>
      </c>
      <c r="F360">
        <v>450</v>
      </c>
      <c r="K360" s="1">
        <v>46192.976087962961</v>
      </c>
      <c r="M360" t="b">
        <v>0</v>
      </c>
      <c r="O360" s="1">
        <v>46192.976087962961</v>
      </c>
    </row>
    <row r="361" spans="1:15" x14ac:dyDescent="0.25">
      <c r="A361">
        <v>356741927</v>
      </c>
      <c r="B361" t="s">
        <v>509</v>
      </c>
      <c r="G361">
        <v>41</v>
      </c>
      <c r="H361" t="s">
        <v>29</v>
      </c>
      <c r="I361">
        <v>4801.5</v>
      </c>
      <c r="J361">
        <v>4781.3999999999996</v>
      </c>
      <c r="L361" t="s">
        <v>12</v>
      </c>
      <c r="M361" t="b">
        <v>0</v>
      </c>
      <c r="O361" s="1">
        <v>46192.976087962961</v>
      </c>
    </row>
    <row r="362" spans="1:15" x14ac:dyDescent="0.25">
      <c r="A362">
        <v>-1659877412</v>
      </c>
      <c r="B362" t="s">
        <v>509</v>
      </c>
      <c r="G362">
        <v>35</v>
      </c>
      <c r="H362" t="s">
        <v>36</v>
      </c>
      <c r="I362">
        <v>166.5</v>
      </c>
      <c r="J362">
        <v>166.9</v>
      </c>
      <c r="L362" t="s">
        <v>12</v>
      </c>
      <c r="M362" t="b">
        <v>0</v>
      </c>
      <c r="O362" s="1">
        <v>46192.976087962961</v>
      </c>
    </row>
    <row r="363" spans="1:15" x14ac:dyDescent="0.25">
      <c r="A363">
        <v>-412333651</v>
      </c>
      <c r="B363" t="s">
        <v>509</v>
      </c>
      <c r="G363">
        <v>44</v>
      </c>
      <c r="H363" t="s">
        <v>16</v>
      </c>
      <c r="I363">
        <v>225</v>
      </c>
      <c r="J363">
        <v>222.5</v>
      </c>
      <c r="L363" t="s">
        <v>15</v>
      </c>
      <c r="M363" t="b">
        <v>0</v>
      </c>
      <c r="O363" s="1">
        <v>46192.976087962961</v>
      </c>
    </row>
    <row r="364" spans="1:15" x14ac:dyDescent="0.25">
      <c r="A364">
        <v>1781898117</v>
      </c>
      <c r="B364" t="s">
        <v>512</v>
      </c>
      <c r="C364" t="s">
        <v>342</v>
      </c>
      <c r="D364" t="s">
        <v>343</v>
      </c>
      <c r="E364" t="s">
        <v>336</v>
      </c>
      <c r="F364">
        <v>250</v>
      </c>
      <c r="K364" s="1">
        <v>46193.11246527778</v>
      </c>
      <c r="M364" t="b">
        <v>1</v>
      </c>
      <c r="N364" s="1">
        <v>46198.697627314818</v>
      </c>
      <c r="O364" s="1">
        <v>46193.11246527778</v>
      </c>
    </row>
    <row r="365" spans="1:15" x14ac:dyDescent="0.25">
      <c r="A365">
        <v>-580529054</v>
      </c>
      <c r="B365" t="s">
        <v>512</v>
      </c>
      <c r="H365" t="s">
        <v>29</v>
      </c>
      <c r="I365">
        <v>3500</v>
      </c>
      <c r="J365">
        <v>3497.6</v>
      </c>
      <c r="L365" t="s">
        <v>12</v>
      </c>
      <c r="M365" t="b">
        <v>0</v>
      </c>
      <c r="O365" s="1">
        <v>46193.11246527778</v>
      </c>
    </row>
    <row r="366" spans="1:15" x14ac:dyDescent="0.25">
      <c r="A366">
        <v>372662587</v>
      </c>
      <c r="B366" t="s">
        <v>512</v>
      </c>
      <c r="G366">
        <v>35</v>
      </c>
      <c r="H366" t="s">
        <v>36</v>
      </c>
      <c r="I366">
        <v>625</v>
      </c>
      <c r="J366">
        <v>622.4</v>
      </c>
      <c r="L366" t="s">
        <v>12</v>
      </c>
      <c r="M366" t="b">
        <v>0</v>
      </c>
      <c r="O366" s="1">
        <v>46193.11246527778</v>
      </c>
    </row>
    <row r="367" spans="1:15" x14ac:dyDescent="0.25">
      <c r="A367">
        <v>715790688</v>
      </c>
      <c r="B367" t="s">
        <v>512</v>
      </c>
      <c r="G367">
        <v>44</v>
      </c>
      <c r="H367" t="s">
        <v>16</v>
      </c>
      <c r="I367">
        <v>160</v>
      </c>
      <c r="J367">
        <v>160.4</v>
      </c>
      <c r="L367" t="s">
        <v>12</v>
      </c>
      <c r="M367" t="b">
        <v>0</v>
      </c>
      <c r="O367" s="1">
        <v>46193.11246527778</v>
      </c>
    </row>
    <row r="368" spans="1:15" x14ac:dyDescent="0.25">
      <c r="A368">
        <v>1781898826</v>
      </c>
      <c r="B368" t="s">
        <v>513</v>
      </c>
      <c r="C368" t="s">
        <v>466</v>
      </c>
      <c r="D368" t="s">
        <v>514</v>
      </c>
      <c r="E368" t="s">
        <v>340</v>
      </c>
      <c r="F368">
        <v>450</v>
      </c>
      <c r="K368" s="1">
        <v>46193.120671296296</v>
      </c>
      <c r="M368" t="b">
        <v>1</v>
      </c>
      <c r="N368" s="1">
        <v>46198.697627314818</v>
      </c>
      <c r="O368" s="1">
        <v>46193.120671296296</v>
      </c>
    </row>
    <row r="369" spans="1:15" x14ac:dyDescent="0.25">
      <c r="A369">
        <v>2015579907</v>
      </c>
      <c r="B369" t="s">
        <v>513</v>
      </c>
      <c r="G369">
        <v>69</v>
      </c>
      <c r="H369" t="s">
        <v>174</v>
      </c>
      <c r="I369">
        <v>90</v>
      </c>
      <c r="J369">
        <v>88</v>
      </c>
      <c r="L369" t="s">
        <v>15</v>
      </c>
      <c r="M369" t="b">
        <v>0</v>
      </c>
      <c r="O369" s="1">
        <v>46193.120671296296</v>
      </c>
    </row>
    <row r="370" spans="1:15" x14ac:dyDescent="0.25">
      <c r="A370">
        <v>-923691640</v>
      </c>
      <c r="B370" t="s">
        <v>513</v>
      </c>
      <c r="G370">
        <v>26</v>
      </c>
      <c r="H370" t="s">
        <v>186</v>
      </c>
      <c r="I370">
        <v>432</v>
      </c>
      <c r="J370">
        <v>434.7</v>
      </c>
      <c r="L370" t="s">
        <v>12</v>
      </c>
      <c r="M370" t="b">
        <v>0</v>
      </c>
      <c r="O370" s="1">
        <v>46193.120671296296</v>
      </c>
    </row>
    <row r="371" spans="1:15" x14ac:dyDescent="0.25">
      <c r="A371">
        <v>416250089</v>
      </c>
      <c r="B371" t="s">
        <v>513</v>
      </c>
      <c r="G371">
        <v>57</v>
      </c>
      <c r="H371" t="s">
        <v>17</v>
      </c>
      <c r="I371">
        <v>1035</v>
      </c>
      <c r="J371">
        <v>1036</v>
      </c>
      <c r="L371" t="s">
        <v>12</v>
      </c>
      <c r="M371" t="b">
        <v>0</v>
      </c>
      <c r="O371" s="1">
        <v>46193.120671296296</v>
      </c>
    </row>
    <row r="372" spans="1:15" x14ac:dyDescent="0.25">
      <c r="A372">
        <v>811177718</v>
      </c>
      <c r="B372" t="s">
        <v>513</v>
      </c>
      <c r="G372">
        <v>41</v>
      </c>
      <c r="H372" t="s">
        <v>29</v>
      </c>
      <c r="I372">
        <v>1080</v>
      </c>
      <c r="J372">
        <v>1072.8</v>
      </c>
      <c r="L372" t="s">
        <v>12</v>
      </c>
      <c r="M372" t="b">
        <v>0</v>
      </c>
      <c r="O372" s="1">
        <v>46193.120671296296</v>
      </c>
    </row>
    <row r="373" spans="1:15" x14ac:dyDescent="0.25">
      <c r="A373">
        <v>1781905990</v>
      </c>
      <c r="B373" t="s">
        <v>515</v>
      </c>
      <c r="C373" t="s">
        <v>516</v>
      </c>
      <c r="D373" t="s">
        <v>380</v>
      </c>
      <c r="E373" t="s">
        <v>313</v>
      </c>
      <c r="F373">
        <v>120</v>
      </c>
      <c r="K373" s="1">
        <v>46193.203587962962</v>
      </c>
      <c r="M373" t="b">
        <v>1</v>
      </c>
      <c r="N373" s="1">
        <v>46198.697627314818</v>
      </c>
      <c r="O373" s="1">
        <v>46193.203587962962</v>
      </c>
    </row>
    <row r="374" spans="1:15" x14ac:dyDescent="0.25">
      <c r="A374">
        <v>-1538481585</v>
      </c>
      <c r="B374" t="s">
        <v>515</v>
      </c>
      <c r="H374" t="s">
        <v>29</v>
      </c>
      <c r="I374">
        <v>780</v>
      </c>
      <c r="J374">
        <v>782.7</v>
      </c>
      <c r="L374" t="s">
        <v>12</v>
      </c>
      <c r="M374" t="b">
        <v>0</v>
      </c>
      <c r="O374" s="1">
        <v>46193.203587962962</v>
      </c>
    </row>
    <row r="375" spans="1:15" x14ac:dyDescent="0.25">
      <c r="A375">
        <v>67863012</v>
      </c>
      <c r="B375" t="s">
        <v>515</v>
      </c>
      <c r="G375">
        <v>35</v>
      </c>
      <c r="H375" t="s">
        <v>36</v>
      </c>
      <c r="I375">
        <v>21.6</v>
      </c>
      <c r="J375">
        <v>22.6</v>
      </c>
      <c r="L375" t="s">
        <v>15</v>
      </c>
      <c r="M375" t="b">
        <v>0</v>
      </c>
      <c r="O375" s="1">
        <v>46193.203587962962</v>
      </c>
    </row>
    <row r="376" spans="1:15" x14ac:dyDescent="0.25">
      <c r="A376">
        <v>297315605</v>
      </c>
      <c r="B376" t="s">
        <v>515</v>
      </c>
      <c r="G376">
        <v>16</v>
      </c>
      <c r="H376" t="s">
        <v>13</v>
      </c>
      <c r="I376">
        <v>36</v>
      </c>
      <c r="J376">
        <v>36.299999999999997</v>
      </c>
      <c r="L376" t="s">
        <v>12</v>
      </c>
      <c r="M376" t="b">
        <v>0</v>
      </c>
      <c r="O376" s="1">
        <v>46193.203587962962</v>
      </c>
    </row>
    <row r="377" spans="1:15" x14ac:dyDescent="0.25">
      <c r="A377">
        <v>1781909000</v>
      </c>
      <c r="B377" t="s">
        <v>517</v>
      </c>
      <c r="C377" t="s">
        <v>518</v>
      </c>
      <c r="D377" t="s">
        <v>219</v>
      </c>
      <c r="E377" t="s">
        <v>340</v>
      </c>
      <c r="F377">
        <v>100</v>
      </c>
      <c r="K377" s="1">
        <v>46193.238425925927</v>
      </c>
      <c r="M377" t="b">
        <v>1</v>
      </c>
      <c r="N377" s="1">
        <v>46198.697627314818</v>
      </c>
      <c r="O377" s="1">
        <v>46193.238425925927</v>
      </c>
    </row>
    <row r="378" spans="1:15" x14ac:dyDescent="0.25">
      <c r="A378">
        <v>1432289129</v>
      </c>
      <c r="B378" t="s">
        <v>517</v>
      </c>
      <c r="G378">
        <v>41</v>
      </c>
      <c r="H378" t="s">
        <v>29</v>
      </c>
      <c r="I378">
        <v>1180</v>
      </c>
      <c r="J378">
        <v>0</v>
      </c>
      <c r="L378" t="s">
        <v>15</v>
      </c>
      <c r="M378" t="b">
        <v>0</v>
      </c>
      <c r="O378" s="1">
        <v>46193.238425925927</v>
      </c>
    </row>
    <row r="379" spans="1:15" x14ac:dyDescent="0.25">
      <c r="A379">
        <v>-395625610</v>
      </c>
      <c r="B379" t="s">
        <v>517</v>
      </c>
      <c r="G379">
        <v>35</v>
      </c>
      <c r="H379" t="s">
        <v>36</v>
      </c>
      <c r="I379">
        <v>15</v>
      </c>
      <c r="J379">
        <v>14.95</v>
      </c>
      <c r="L379" t="s">
        <v>12</v>
      </c>
      <c r="M379" t="b">
        <v>0</v>
      </c>
      <c r="O379" s="1">
        <v>46193.238425925927</v>
      </c>
    </row>
    <row r="380" spans="1:15" x14ac:dyDescent="0.25">
      <c r="A380">
        <v>1103460287</v>
      </c>
      <c r="B380" t="s">
        <v>517</v>
      </c>
      <c r="G380">
        <v>26</v>
      </c>
      <c r="H380" t="s">
        <v>186</v>
      </c>
      <c r="I380">
        <v>3</v>
      </c>
      <c r="J380">
        <v>2.99</v>
      </c>
      <c r="L380" t="s">
        <v>12</v>
      </c>
      <c r="M380" t="b">
        <v>0</v>
      </c>
      <c r="O380" s="1">
        <v>46193.238425925927</v>
      </c>
    </row>
    <row r="381" spans="1:15" x14ac:dyDescent="0.25">
      <c r="A381">
        <v>1781909131</v>
      </c>
      <c r="B381" t="s">
        <v>519</v>
      </c>
      <c r="C381" t="s">
        <v>427</v>
      </c>
      <c r="D381" t="s">
        <v>428</v>
      </c>
      <c r="E381" t="s">
        <v>340</v>
      </c>
      <c r="F381">
        <v>50</v>
      </c>
      <c r="K381" s="1">
        <v>46193.239942129629</v>
      </c>
      <c r="M381" t="b">
        <v>1</v>
      </c>
      <c r="N381" s="1">
        <v>46198.697627314818</v>
      </c>
      <c r="O381" s="1">
        <v>46193.239942129629</v>
      </c>
    </row>
    <row r="382" spans="1:15" x14ac:dyDescent="0.25">
      <c r="A382">
        <v>664062064</v>
      </c>
      <c r="B382" t="s">
        <v>519</v>
      </c>
      <c r="G382">
        <v>41</v>
      </c>
      <c r="H382" t="s">
        <v>29</v>
      </c>
      <c r="I382">
        <v>400</v>
      </c>
      <c r="J382">
        <v>400.7</v>
      </c>
      <c r="L382" t="s">
        <v>12</v>
      </c>
      <c r="M382" t="b">
        <v>0</v>
      </c>
      <c r="O382" s="1">
        <v>46193.239942129629</v>
      </c>
    </row>
    <row r="383" spans="1:15" x14ac:dyDescent="0.25">
      <c r="A383">
        <v>-1925456975</v>
      </c>
      <c r="B383" t="s">
        <v>519</v>
      </c>
      <c r="G383">
        <v>50</v>
      </c>
      <c r="H383" t="s">
        <v>157</v>
      </c>
      <c r="I383">
        <v>100</v>
      </c>
      <c r="J383">
        <v>99.3</v>
      </c>
      <c r="L383" t="s">
        <v>12</v>
      </c>
      <c r="M383" t="b">
        <v>0</v>
      </c>
      <c r="O383" s="1">
        <v>46193.239942129629</v>
      </c>
    </row>
    <row r="384" spans="1:15" x14ac:dyDescent="0.25">
      <c r="A384">
        <v>-769219554</v>
      </c>
      <c r="B384" t="s">
        <v>519</v>
      </c>
      <c r="G384">
        <v>16</v>
      </c>
      <c r="H384" t="s">
        <v>13</v>
      </c>
      <c r="I384">
        <v>130</v>
      </c>
      <c r="J384">
        <v>130.30000000000001</v>
      </c>
      <c r="L384" t="s">
        <v>12</v>
      </c>
      <c r="M384" t="b">
        <v>0</v>
      </c>
      <c r="O384" s="1">
        <v>46193.239942129629</v>
      </c>
    </row>
    <row r="385" spans="1:15" x14ac:dyDescent="0.25">
      <c r="A385">
        <v>1781909197</v>
      </c>
      <c r="B385" t="s">
        <v>520</v>
      </c>
      <c r="C385" t="s">
        <v>518</v>
      </c>
      <c r="D385" t="s">
        <v>219</v>
      </c>
      <c r="E385" t="s">
        <v>340</v>
      </c>
      <c r="F385">
        <v>100</v>
      </c>
      <c r="K385" s="1">
        <v>46193.240706018521</v>
      </c>
      <c r="M385" t="b">
        <v>1</v>
      </c>
      <c r="N385" s="1">
        <v>46198.697627314818</v>
      </c>
      <c r="O385" s="1">
        <v>46193.240706018521</v>
      </c>
    </row>
    <row r="386" spans="1:15" x14ac:dyDescent="0.25">
      <c r="A386">
        <v>1850744842</v>
      </c>
      <c r="B386" t="s">
        <v>520</v>
      </c>
      <c r="G386">
        <v>41</v>
      </c>
      <c r="H386" t="s">
        <v>29</v>
      </c>
      <c r="I386">
        <v>1180</v>
      </c>
      <c r="J386">
        <v>1175.4000000000001</v>
      </c>
      <c r="L386" t="s">
        <v>12</v>
      </c>
      <c r="M386" t="b">
        <v>0</v>
      </c>
      <c r="O386" s="1">
        <v>46193.240706018521</v>
      </c>
    </row>
    <row r="387" spans="1:15" x14ac:dyDescent="0.25">
      <c r="A387">
        <v>-1319199293</v>
      </c>
      <c r="B387" t="s">
        <v>520</v>
      </c>
      <c r="G387">
        <v>35</v>
      </c>
      <c r="H387" t="s">
        <v>36</v>
      </c>
      <c r="I387">
        <v>15</v>
      </c>
      <c r="L387" t="s">
        <v>15</v>
      </c>
      <c r="M387" t="b">
        <v>0</v>
      </c>
      <c r="O387" s="1">
        <v>46193.240706018521</v>
      </c>
    </row>
    <row r="388" spans="1:15" x14ac:dyDescent="0.25">
      <c r="A388">
        <v>287239496</v>
      </c>
      <c r="B388" t="s">
        <v>520</v>
      </c>
      <c r="G388">
        <v>26</v>
      </c>
      <c r="H388" t="s">
        <v>186</v>
      </c>
      <c r="I388">
        <v>3</v>
      </c>
      <c r="L388" t="s">
        <v>15</v>
      </c>
      <c r="M388" t="b">
        <v>0</v>
      </c>
      <c r="O388" s="1">
        <v>46193.240706018521</v>
      </c>
    </row>
    <row r="389" spans="1:15" x14ac:dyDescent="0.25">
      <c r="A389">
        <v>1781920028</v>
      </c>
      <c r="B389" t="s">
        <v>521</v>
      </c>
      <c r="C389" t="s">
        <v>522</v>
      </c>
      <c r="D389">
        <v>222</v>
      </c>
      <c r="E389" t="s">
        <v>336</v>
      </c>
      <c r="F389">
        <v>50</v>
      </c>
      <c r="K389" s="1">
        <v>46193.366064814814</v>
      </c>
      <c r="M389" t="b">
        <v>1</v>
      </c>
      <c r="N389" s="1">
        <v>46198.697627314818</v>
      </c>
      <c r="O389" s="1">
        <v>46193.366064814814</v>
      </c>
    </row>
    <row r="390" spans="1:15" x14ac:dyDescent="0.25">
      <c r="A390">
        <v>-585463315</v>
      </c>
      <c r="B390" t="s">
        <v>521</v>
      </c>
      <c r="G390">
        <v>41</v>
      </c>
      <c r="H390" t="s">
        <v>29</v>
      </c>
      <c r="I390">
        <v>600</v>
      </c>
      <c r="J390">
        <v>600.70000000000005</v>
      </c>
      <c r="L390" t="s">
        <v>12</v>
      </c>
      <c r="M390" t="b">
        <v>0</v>
      </c>
      <c r="O390" s="1">
        <v>46193.366064814814</v>
      </c>
    </row>
    <row r="391" spans="1:15" x14ac:dyDescent="0.25">
      <c r="A391">
        <v>1339370666</v>
      </c>
      <c r="B391" t="s">
        <v>521</v>
      </c>
      <c r="G391">
        <v>16</v>
      </c>
      <c r="H391" t="s">
        <v>13</v>
      </c>
      <c r="I391">
        <v>48</v>
      </c>
      <c r="J391">
        <v>48.4</v>
      </c>
      <c r="L391" t="s">
        <v>12</v>
      </c>
      <c r="M391" t="b">
        <v>0</v>
      </c>
      <c r="O391" s="1">
        <v>46193.366064814814</v>
      </c>
    </row>
    <row r="392" spans="1:15" x14ac:dyDescent="0.25">
      <c r="A392">
        <v>1781923529</v>
      </c>
      <c r="B392" t="s">
        <v>523</v>
      </c>
      <c r="C392" t="s">
        <v>466</v>
      </c>
      <c r="D392" t="s">
        <v>514</v>
      </c>
      <c r="E392" t="s">
        <v>340</v>
      </c>
      <c r="F392">
        <v>450</v>
      </c>
      <c r="K392" s="1">
        <v>46193.406585648147</v>
      </c>
      <c r="M392" t="b">
        <v>1</v>
      </c>
      <c r="N392" s="1">
        <v>46198.697627314818</v>
      </c>
      <c r="O392" s="1">
        <v>46193.406585648147</v>
      </c>
    </row>
    <row r="393" spans="1:15" x14ac:dyDescent="0.25">
      <c r="A393">
        <v>-1280942250</v>
      </c>
      <c r="B393" t="s">
        <v>523</v>
      </c>
      <c r="G393">
        <v>69</v>
      </c>
      <c r="H393" t="s">
        <v>174</v>
      </c>
      <c r="I393">
        <v>90</v>
      </c>
      <c r="J393">
        <v>90.6</v>
      </c>
      <c r="L393" t="s">
        <v>12</v>
      </c>
      <c r="M393" t="b">
        <v>0</v>
      </c>
      <c r="O393" s="1">
        <v>46193.406585648147</v>
      </c>
    </row>
    <row r="394" spans="1:15" x14ac:dyDescent="0.25">
      <c r="A394">
        <v>-1251604961</v>
      </c>
      <c r="B394" t="s">
        <v>523</v>
      </c>
      <c r="G394">
        <v>26</v>
      </c>
      <c r="H394" t="s">
        <v>186</v>
      </c>
      <c r="I394">
        <v>432</v>
      </c>
      <c r="J394">
        <v>430.7</v>
      </c>
      <c r="L394" t="s">
        <v>12</v>
      </c>
      <c r="M394" t="b">
        <v>0</v>
      </c>
      <c r="O394" s="1">
        <v>46193.406585648147</v>
      </c>
    </row>
    <row r="395" spans="1:15" x14ac:dyDescent="0.25">
      <c r="A395">
        <v>-1188106892</v>
      </c>
      <c r="B395" t="s">
        <v>523</v>
      </c>
      <c r="G395">
        <v>57</v>
      </c>
      <c r="H395" t="s">
        <v>17</v>
      </c>
      <c r="I395">
        <v>1035</v>
      </c>
      <c r="J395">
        <v>1032.2</v>
      </c>
      <c r="L395" t="s">
        <v>12</v>
      </c>
      <c r="M395" t="b">
        <v>0</v>
      </c>
      <c r="O395" s="1">
        <v>46193.406585648147</v>
      </c>
    </row>
    <row r="396" spans="1:15" x14ac:dyDescent="0.25">
      <c r="A396">
        <v>-812255899</v>
      </c>
      <c r="B396" t="s">
        <v>523</v>
      </c>
      <c r="G396">
        <v>41</v>
      </c>
      <c r="H396" t="s">
        <v>29</v>
      </c>
      <c r="I396">
        <v>1080</v>
      </c>
      <c r="J396">
        <v>1078.5999999999999</v>
      </c>
      <c r="L396" t="s">
        <v>12</v>
      </c>
      <c r="M396" t="b">
        <v>0</v>
      </c>
      <c r="O396" s="1">
        <v>46193.406585648147</v>
      </c>
    </row>
    <row r="397" spans="1:15" x14ac:dyDescent="0.25">
      <c r="A397">
        <v>1781926397</v>
      </c>
      <c r="B397" t="s">
        <v>524</v>
      </c>
      <c r="C397" t="s">
        <v>525</v>
      </c>
      <c r="D397" t="s">
        <v>526</v>
      </c>
      <c r="E397" t="s">
        <v>313</v>
      </c>
      <c r="F397">
        <v>15</v>
      </c>
      <c r="K397" s="1">
        <v>46193.439780092594</v>
      </c>
      <c r="M397" t="b">
        <v>1</v>
      </c>
      <c r="N397" s="1">
        <v>46198.697627314818</v>
      </c>
      <c r="O397" s="1">
        <v>46193.439780092594</v>
      </c>
    </row>
    <row r="398" spans="1:15" x14ac:dyDescent="0.25">
      <c r="A398">
        <v>-2034692230</v>
      </c>
      <c r="B398" t="s">
        <v>524</v>
      </c>
      <c r="G398">
        <v>41</v>
      </c>
      <c r="H398" t="s">
        <v>29</v>
      </c>
      <c r="I398">
        <v>375</v>
      </c>
      <c r="J398">
        <v>375</v>
      </c>
      <c r="L398" t="s">
        <v>12</v>
      </c>
      <c r="M398" t="b">
        <v>0</v>
      </c>
      <c r="O398" s="1">
        <v>46193.439780092594</v>
      </c>
    </row>
    <row r="399" spans="1:15" x14ac:dyDescent="0.25">
      <c r="A399">
        <v>-286305165</v>
      </c>
      <c r="B399" t="s">
        <v>524</v>
      </c>
      <c r="G399">
        <v>4</v>
      </c>
      <c r="H399" t="s">
        <v>27</v>
      </c>
      <c r="I399">
        <v>45</v>
      </c>
      <c r="J399">
        <v>44.9</v>
      </c>
      <c r="L399" t="s">
        <v>12</v>
      </c>
      <c r="M399" t="b">
        <v>0</v>
      </c>
      <c r="O399" s="1">
        <v>46193.439780092594</v>
      </c>
    </row>
    <row r="400" spans="1:15" x14ac:dyDescent="0.25">
      <c r="A400">
        <v>1781938965</v>
      </c>
      <c r="B400" t="s">
        <v>527</v>
      </c>
      <c r="C400" t="s">
        <v>528</v>
      </c>
      <c r="D400" t="s">
        <v>529</v>
      </c>
      <c r="E400" t="s">
        <v>313</v>
      </c>
      <c r="F400">
        <v>100</v>
      </c>
      <c r="K400" s="1">
        <v>46193.585243055553</v>
      </c>
      <c r="M400" t="b">
        <v>1</v>
      </c>
      <c r="N400" s="1">
        <v>46198.697627314818</v>
      </c>
      <c r="O400" s="1">
        <v>46193.585243055553</v>
      </c>
    </row>
    <row r="401" spans="1:15" x14ac:dyDescent="0.25">
      <c r="A401">
        <v>-2132983630</v>
      </c>
      <c r="B401" t="s">
        <v>527</v>
      </c>
      <c r="G401">
        <v>41</v>
      </c>
      <c r="H401" t="s">
        <v>29</v>
      </c>
      <c r="I401">
        <v>300</v>
      </c>
      <c r="J401">
        <v>298.10000000000002</v>
      </c>
      <c r="L401" t="s">
        <v>12</v>
      </c>
      <c r="M401" t="b">
        <v>0</v>
      </c>
      <c r="O401" s="1">
        <v>46193.585243055553</v>
      </c>
    </row>
    <row r="402" spans="1:15" x14ac:dyDescent="0.25">
      <c r="A402">
        <v>-1585165493</v>
      </c>
      <c r="B402" t="s">
        <v>527</v>
      </c>
      <c r="G402">
        <v>68</v>
      </c>
      <c r="H402" t="s">
        <v>14</v>
      </c>
      <c r="I402">
        <v>38</v>
      </c>
      <c r="J402">
        <v>38.299999999999997</v>
      </c>
      <c r="L402" t="s">
        <v>12</v>
      </c>
      <c r="M402" t="b">
        <v>0</v>
      </c>
      <c r="O402" s="1">
        <v>46193.585243055553</v>
      </c>
    </row>
    <row r="403" spans="1:15" x14ac:dyDescent="0.25">
      <c r="A403">
        <v>1781940364</v>
      </c>
      <c r="B403" t="s">
        <v>530</v>
      </c>
      <c r="C403" t="s">
        <v>427</v>
      </c>
      <c r="D403" t="s">
        <v>428</v>
      </c>
      <c r="E403" t="s">
        <v>336</v>
      </c>
      <c r="F403">
        <v>50</v>
      </c>
      <c r="K403" s="1">
        <v>46193.601435185185</v>
      </c>
      <c r="M403" t="b">
        <v>1</v>
      </c>
      <c r="N403" s="1">
        <v>46198.697627314818</v>
      </c>
      <c r="O403" s="1">
        <v>46193.601435185185</v>
      </c>
    </row>
    <row r="404" spans="1:15" x14ac:dyDescent="0.25">
      <c r="A404">
        <v>-796450659</v>
      </c>
      <c r="B404" t="s">
        <v>530</v>
      </c>
      <c r="G404">
        <v>41</v>
      </c>
      <c r="H404" t="s">
        <v>29</v>
      </c>
      <c r="I404">
        <v>400</v>
      </c>
      <c r="J404">
        <v>403</v>
      </c>
      <c r="L404" t="s">
        <v>12</v>
      </c>
      <c r="M404" t="b">
        <v>0</v>
      </c>
      <c r="O404" s="1">
        <v>46193.601435185185</v>
      </c>
    </row>
    <row r="405" spans="1:15" x14ac:dyDescent="0.25">
      <c r="A405">
        <v>-447886950</v>
      </c>
      <c r="B405" t="s">
        <v>530</v>
      </c>
      <c r="G405">
        <v>50</v>
      </c>
      <c r="H405" t="s">
        <v>157</v>
      </c>
      <c r="I405">
        <v>100</v>
      </c>
      <c r="J405">
        <v>100.2</v>
      </c>
      <c r="L405" t="s">
        <v>12</v>
      </c>
      <c r="M405" t="b">
        <v>0</v>
      </c>
      <c r="O405" s="1">
        <v>46193.601435185185</v>
      </c>
    </row>
    <row r="406" spans="1:15" x14ac:dyDescent="0.25">
      <c r="A406">
        <v>374131731</v>
      </c>
      <c r="B406" t="s">
        <v>530</v>
      </c>
      <c r="G406">
        <v>16</v>
      </c>
      <c r="H406" t="s">
        <v>13</v>
      </c>
      <c r="I406">
        <v>130</v>
      </c>
      <c r="J406">
        <v>129.5</v>
      </c>
      <c r="L406" t="s">
        <v>12</v>
      </c>
      <c r="M406" t="b">
        <v>0</v>
      </c>
      <c r="O406" s="1">
        <v>46193.601435185185</v>
      </c>
    </row>
    <row r="407" spans="1:15" x14ac:dyDescent="0.25">
      <c r="A407">
        <v>1781940965</v>
      </c>
      <c r="B407" t="s">
        <v>531</v>
      </c>
      <c r="C407" t="s">
        <v>385</v>
      </c>
      <c r="D407" t="s">
        <v>414</v>
      </c>
      <c r="E407" t="s">
        <v>313</v>
      </c>
      <c r="F407">
        <v>250</v>
      </c>
      <c r="K407" s="1">
        <v>46193.608391203707</v>
      </c>
      <c r="M407" t="b">
        <v>1</v>
      </c>
      <c r="N407" s="1">
        <v>46198.697627314818</v>
      </c>
      <c r="O407" s="1">
        <v>46193.608391203707</v>
      </c>
    </row>
    <row r="408" spans="1:15" x14ac:dyDescent="0.25">
      <c r="A408">
        <v>1810071618</v>
      </c>
      <c r="B408" t="s">
        <v>531</v>
      </c>
      <c r="G408">
        <v>27</v>
      </c>
      <c r="H408" t="s">
        <v>143</v>
      </c>
      <c r="I408">
        <v>1160</v>
      </c>
      <c r="J408">
        <v>1161.8</v>
      </c>
      <c r="L408" t="s">
        <v>12</v>
      </c>
      <c r="M408" t="b">
        <v>0</v>
      </c>
      <c r="O408" s="1">
        <v>46193.608391203707</v>
      </c>
    </row>
    <row r="409" spans="1:15" x14ac:dyDescent="0.25">
      <c r="A409">
        <v>-1564944485</v>
      </c>
      <c r="B409" t="s">
        <v>531</v>
      </c>
      <c r="G409">
        <v>57</v>
      </c>
      <c r="H409" t="s">
        <v>17</v>
      </c>
      <c r="I409">
        <v>605.5</v>
      </c>
      <c r="J409">
        <v>607.79999999999995</v>
      </c>
      <c r="L409" t="s">
        <v>12</v>
      </c>
      <c r="M409" t="b">
        <v>0</v>
      </c>
      <c r="O409" s="1">
        <v>46193.608391203707</v>
      </c>
    </row>
    <row r="410" spans="1:15" x14ac:dyDescent="0.25">
      <c r="A410">
        <v>-873256896</v>
      </c>
      <c r="B410" t="s">
        <v>531</v>
      </c>
      <c r="G410">
        <v>41</v>
      </c>
      <c r="H410" t="s">
        <v>29</v>
      </c>
      <c r="I410">
        <v>2345</v>
      </c>
      <c r="J410">
        <v>2352</v>
      </c>
      <c r="L410" t="s">
        <v>12</v>
      </c>
      <c r="M410" t="b">
        <v>0</v>
      </c>
      <c r="O410" s="1">
        <v>46193.608391203707</v>
      </c>
    </row>
    <row r="411" spans="1:15" x14ac:dyDescent="0.25">
      <c r="A411">
        <v>1781941566</v>
      </c>
      <c r="B411" t="s">
        <v>532</v>
      </c>
      <c r="C411" t="s">
        <v>525</v>
      </c>
      <c r="D411" t="s">
        <v>533</v>
      </c>
      <c r="E411" t="s">
        <v>534</v>
      </c>
      <c r="F411" t="s">
        <v>535</v>
      </c>
      <c r="K411" s="1">
        <v>46193.615335648145</v>
      </c>
      <c r="M411" t="b">
        <v>1</v>
      </c>
      <c r="N411" s="1">
        <v>46198.697627314818</v>
      </c>
      <c r="O411" s="1">
        <v>46193.615335648145</v>
      </c>
    </row>
    <row r="412" spans="1:15" x14ac:dyDescent="0.25">
      <c r="A412">
        <v>121626599</v>
      </c>
      <c r="B412" t="s">
        <v>532</v>
      </c>
      <c r="G412">
        <v>41</v>
      </c>
      <c r="H412" t="s">
        <v>29</v>
      </c>
      <c r="I412">
        <v>360</v>
      </c>
      <c r="J412">
        <v>360.83</v>
      </c>
      <c r="L412" t="s">
        <v>12</v>
      </c>
      <c r="M412" t="b">
        <v>0</v>
      </c>
      <c r="O412" s="1">
        <v>46193.615335648145</v>
      </c>
    </row>
    <row r="413" spans="1:15" x14ac:dyDescent="0.25">
      <c r="A413">
        <v>1612965276</v>
      </c>
      <c r="B413" t="s">
        <v>532</v>
      </c>
      <c r="G413">
        <v>4</v>
      </c>
      <c r="H413" t="s">
        <v>27</v>
      </c>
      <c r="I413">
        <v>52</v>
      </c>
      <c r="J413">
        <v>52.01</v>
      </c>
      <c r="L413" t="s">
        <v>12</v>
      </c>
      <c r="M413" t="b">
        <v>0</v>
      </c>
      <c r="O413" s="1">
        <v>46193.615335648145</v>
      </c>
    </row>
    <row r="414" spans="1:15" x14ac:dyDescent="0.25">
      <c r="A414">
        <v>1781941615</v>
      </c>
      <c r="B414" t="s">
        <v>536</v>
      </c>
      <c r="C414" t="s">
        <v>345</v>
      </c>
      <c r="D414" t="s">
        <v>537</v>
      </c>
      <c r="E414" t="s">
        <v>313</v>
      </c>
      <c r="F414">
        <v>440</v>
      </c>
      <c r="K414" s="1">
        <v>46193.615914351853</v>
      </c>
      <c r="M414" t="b">
        <v>1</v>
      </c>
      <c r="N414" s="1">
        <v>46198.697627314818</v>
      </c>
      <c r="O414" s="1">
        <v>46193.615914351853</v>
      </c>
    </row>
    <row r="415" spans="1:15" x14ac:dyDescent="0.25">
      <c r="A415">
        <v>-559157628</v>
      </c>
      <c r="B415" t="s">
        <v>536</v>
      </c>
      <c r="G415">
        <v>41</v>
      </c>
      <c r="H415" t="s">
        <v>29</v>
      </c>
      <c r="I415">
        <v>6468</v>
      </c>
      <c r="J415">
        <v>6476.1</v>
      </c>
      <c r="L415" t="s">
        <v>12</v>
      </c>
      <c r="M415" t="b">
        <v>0</v>
      </c>
      <c r="O415" s="1">
        <v>46193.615914351853</v>
      </c>
    </row>
    <row r="416" spans="1:15" x14ac:dyDescent="0.25">
      <c r="A416">
        <v>-1450998475</v>
      </c>
      <c r="B416" t="s">
        <v>536</v>
      </c>
      <c r="G416">
        <v>44</v>
      </c>
      <c r="H416" t="s">
        <v>16</v>
      </c>
      <c r="I416">
        <v>457.6</v>
      </c>
      <c r="J416">
        <v>461.5</v>
      </c>
      <c r="L416" t="s">
        <v>12</v>
      </c>
      <c r="M416" t="b">
        <v>0</v>
      </c>
      <c r="O416" s="1">
        <v>46193.615914351853</v>
      </c>
    </row>
    <row r="417" spans="1:15" x14ac:dyDescent="0.25">
      <c r="A417">
        <v>-99874734</v>
      </c>
      <c r="B417" t="s">
        <v>536</v>
      </c>
      <c r="G417">
        <v>4</v>
      </c>
      <c r="H417" t="s">
        <v>27</v>
      </c>
      <c r="I417">
        <v>2112</v>
      </c>
      <c r="J417">
        <v>2131.1</v>
      </c>
      <c r="L417" t="s">
        <v>12</v>
      </c>
      <c r="M417" t="b">
        <v>0</v>
      </c>
      <c r="O417" s="1">
        <v>46193.615914351853</v>
      </c>
    </row>
    <row r="418" spans="1:15" x14ac:dyDescent="0.25">
      <c r="A418">
        <v>1781946218</v>
      </c>
      <c r="B418" t="s">
        <v>538</v>
      </c>
      <c r="C418" t="s">
        <v>362</v>
      </c>
      <c r="D418" t="s">
        <v>363</v>
      </c>
      <c r="E418" t="s">
        <v>364</v>
      </c>
      <c r="F418">
        <v>450</v>
      </c>
      <c r="K418" s="1">
        <v>46193.669189814813</v>
      </c>
      <c r="M418" t="b">
        <v>1</v>
      </c>
      <c r="N418" s="1">
        <v>46198.697627314818</v>
      </c>
      <c r="O418" s="1">
        <v>46193.669189814813</v>
      </c>
    </row>
    <row r="419" spans="1:15" x14ac:dyDescent="0.25">
      <c r="A419">
        <v>-963208797</v>
      </c>
      <c r="B419" t="s">
        <v>538</v>
      </c>
      <c r="G419">
        <v>41</v>
      </c>
      <c r="H419" t="s">
        <v>29</v>
      </c>
      <c r="I419">
        <v>6246</v>
      </c>
      <c r="J419">
        <v>6201.4</v>
      </c>
      <c r="L419" t="s">
        <v>12</v>
      </c>
      <c r="M419" t="b">
        <v>0</v>
      </c>
      <c r="O419" s="1">
        <v>46193.669189814813</v>
      </c>
    </row>
    <row r="420" spans="1:15" x14ac:dyDescent="0.25">
      <c r="A420">
        <v>-1337887832</v>
      </c>
      <c r="B420" t="s">
        <v>538</v>
      </c>
      <c r="G420">
        <v>35</v>
      </c>
      <c r="H420" t="s">
        <v>36</v>
      </c>
      <c r="I420">
        <v>180</v>
      </c>
      <c r="J420">
        <v>180.3</v>
      </c>
      <c r="L420" t="s">
        <v>12</v>
      </c>
      <c r="M420" t="b">
        <v>0</v>
      </c>
      <c r="O420" s="1">
        <v>46193.669189814813</v>
      </c>
    </row>
    <row r="421" spans="1:15" x14ac:dyDescent="0.25">
      <c r="A421">
        <v>1802126473</v>
      </c>
      <c r="B421" t="s">
        <v>538</v>
      </c>
      <c r="G421">
        <v>44</v>
      </c>
      <c r="H421" t="s">
        <v>16</v>
      </c>
      <c r="I421">
        <v>130.5</v>
      </c>
      <c r="J421">
        <v>131.80000000000001</v>
      </c>
      <c r="L421" t="s">
        <v>12</v>
      </c>
      <c r="M421" t="b">
        <v>0</v>
      </c>
      <c r="O421" s="1">
        <v>46193.669189814813</v>
      </c>
    </row>
    <row r="422" spans="1:15" x14ac:dyDescent="0.25">
      <c r="A422">
        <v>-1870585322</v>
      </c>
      <c r="B422" t="s">
        <v>538</v>
      </c>
      <c r="G422">
        <v>16</v>
      </c>
      <c r="H422" t="s">
        <v>13</v>
      </c>
      <c r="I422">
        <v>585</v>
      </c>
      <c r="J422">
        <v>585.1</v>
      </c>
      <c r="L422" t="s">
        <v>12</v>
      </c>
      <c r="M422" t="b">
        <v>0</v>
      </c>
      <c r="O422" s="1">
        <v>46193.669189814813</v>
      </c>
    </row>
    <row r="423" spans="1:15" x14ac:dyDescent="0.25">
      <c r="A423">
        <v>1781947560</v>
      </c>
      <c r="B423" t="s">
        <v>539</v>
      </c>
      <c r="C423" t="s">
        <v>362</v>
      </c>
      <c r="D423" t="s">
        <v>363</v>
      </c>
      <c r="E423" t="s">
        <v>364</v>
      </c>
      <c r="F423">
        <v>450</v>
      </c>
      <c r="K423" s="1">
        <v>46193.68472222222</v>
      </c>
      <c r="M423" t="b">
        <v>1</v>
      </c>
      <c r="N423" s="1">
        <v>46198.697627314818</v>
      </c>
      <c r="O423" s="1">
        <v>46193.68472222222</v>
      </c>
    </row>
    <row r="424" spans="1:15" x14ac:dyDescent="0.25">
      <c r="A424">
        <v>1691171209</v>
      </c>
      <c r="B424" t="s">
        <v>539</v>
      </c>
      <c r="G424">
        <v>41</v>
      </c>
      <c r="H424" t="s">
        <v>29</v>
      </c>
      <c r="I424">
        <v>6246</v>
      </c>
      <c r="J424">
        <v>6218.1</v>
      </c>
      <c r="L424" t="s">
        <v>12</v>
      </c>
      <c r="M424" t="b">
        <v>0</v>
      </c>
      <c r="O424" s="1">
        <v>46193.68472222222</v>
      </c>
    </row>
    <row r="425" spans="1:15" x14ac:dyDescent="0.25">
      <c r="A425">
        <v>-1895550186</v>
      </c>
      <c r="B425" t="s">
        <v>539</v>
      </c>
      <c r="G425">
        <v>35</v>
      </c>
      <c r="H425" t="s">
        <v>36</v>
      </c>
      <c r="I425">
        <v>180</v>
      </c>
      <c r="J425">
        <v>180.1</v>
      </c>
      <c r="L425" t="s">
        <v>12</v>
      </c>
      <c r="M425" t="b">
        <v>0</v>
      </c>
      <c r="O425" s="1">
        <v>46193.68472222222</v>
      </c>
    </row>
    <row r="426" spans="1:15" x14ac:dyDescent="0.25">
      <c r="A426">
        <v>-1054687521</v>
      </c>
      <c r="B426" t="s">
        <v>539</v>
      </c>
      <c r="G426">
        <v>44</v>
      </c>
      <c r="H426" t="s">
        <v>16</v>
      </c>
      <c r="I426">
        <v>130.5</v>
      </c>
      <c r="J426">
        <v>273.89999999999998</v>
      </c>
      <c r="L426" t="s">
        <v>15</v>
      </c>
      <c r="M426" t="b">
        <v>0</v>
      </c>
      <c r="O426" s="1">
        <v>46193.68472222222</v>
      </c>
    </row>
    <row r="427" spans="1:15" x14ac:dyDescent="0.25">
      <c r="A427">
        <v>-950540492</v>
      </c>
      <c r="B427" t="s">
        <v>539</v>
      </c>
      <c r="G427">
        <v>16</v>
      </c>
      <c r="H427" t="s">
        <v>13</v>
      </c>
      <c r="I427">
        <v>585</v>
      </c>
      <c r="J427">
        <v>557.9</v>
      </c>
      <c r="L427" t="s">
        <v>15</v>
      </c>
      <c r="M427" t="b">
        <v>0</v>
      </c>
      <c r="O427" s="1">
        <v>46193.68472222222</v>
      </c>
    </row>
    <row r="428" spans="1:15" x14ac:dyDescent="0.25">
      <c r="A428">
        <v>1781948820</v>
      </c>
      <c r="B428" t="s">
        <v>540</v>
      </c>
      <c r="C428" t="s">
        <v>427</v>
      </c>
      <c r="D428" t="s">
        <v>428</v>
      </c>
      <c r="E428" t="s">
        <v>313</v>
      </c>
      <c r="F428">
        <v>50</v>
      </c>
      <c r="K428" s="1">
        <v>46193.699305555558</v>
      </c>
      <c r="M428" t="b">
        <v>1</v>
      </c>
      <c r="N428" s="1">
        <v>46198.697627314818</v>
      </c>
      <c r="O428" s="1">
        <v>46193.699305555558</v>
      </c>
    </row>
    <row r="429" spans="1:15" x14ac:dyDescent="0.25">
      <c r="A429">
        <v>138026757</v>
      </c>
      <c r="B429" t="s">
        <v>540</v>
      </c>
      <c r="G429">
        <v>41</v>
      </c>
      <c r="H429" t="s">
        <v>29</v>
      </c>
      <c r="I429">
        <v>375</v>
      </c>
      <c r="J429">
        <v>376.1</v>
      </c>
      <c r="L429" t="s">
        <v>12</v>
      </c>
      <c r="M429" t="b">
        <v>0</v>
      </c>
      <c r="O429" s="1">
        <v>46193.699305555558</v>
      </c>
    </row>
    <row r="430" spans="1:15" x14ac:dyDescent="0.25">
      <c r="A430">
        <v>307622370</v>
      </c>
      <c r="B430" t="s">
        <v>540</v>
      </c>
      <c r="G430">
        <v>50</v>
      </c>
      <c r="H430" t="s">
        <v>157</v>
      </c>
      <c r="I430">
        <v>135</v>
      </c>
      <c r="J430">
        <v>134.6</v>
      </c>
      <c r="L430" t="s">
        <v>12</v>
      </c>
      <c r="M430" t="b">
        <v>0</v>
      </c>
      <c r="O430" s="1">
        <v>46193.699305555558</v>
      </c>
    </row>
    <row r="431" spans="1:15" x14ac:dyDescent="0.25">
      <c r="A431">
        <v>-18050885</v>
      </c>
      <c r="B431" t="s">
        <v>540</v>
      </c>
      <c r="G431">
        <v>16</v>
      </c>
      <c r="H431" t="s">
        <v>13</v>
      </c>
      <c r="I431">
        <v>200</v>
      </c>
      <c r="J431">
        <v>201.1</v>
      </c>
      <c r="L431" t="s">
        <v>12</v>
      </c>
      <c r="M431" t="b">
        <v>0</v>
      </c>
      <c r="O431" s="1">
        <v>46193.699305555558</v>
      </c>
    </row>
    <row r="432" spans="1:15" x14ac:dyDescent="0.25">
      <c r="A432">
        <v>1781957650</v>
      </c>
      <c r="B432" t="s">
        <v>541</v>
      </c>
      <c r="C432" t="s">
        <v>392</v>
      </c>
      <c r="D432" t="s">
        <v>542</v>
      </c>
      <c r="E432" t="s">
        <v>336</v>
      </c>
      <c r="F432">
        <v>50</v>
      </c>
      <c r="K432" s="1">
        <v>46193.801504629628</v>
      </c>
      <c r="M432" t="b">
        <v>1</v>
      </c>
      <c r="N432" s="1">
        <v>46198.697627314818</v>
      </c>
      <c r="O432" s="1">
        <v>46193.801504629628</v>
      </c>
    </row>
    <row r="433" spans="1:15" x14ac:dyDescent="0.25">
      <c r="A433">
        <v>-792894677</v>
      </c>
      <c r="B433" t="s">
        <v>541</v>
      </c>
      <c r="G433">
        <v>41</v>
      </c>
      <c r="H433" t="s">
        <v>29</v>
      </c>
      <c r="I433">
        <v>700</v>
      </c>
      <c r="J433">
        <v>701.5</v>
      </c>
      <c r="L433" t="s">
        <v>12</v>
      </c>
      <c r="M433" t="b">
        <v>0</v>
      </c>
      <c r="O433" s="1">
        <v>46193.801504629628</v>
      </c>
    </row>
    <row r="434" spans="1:15" x14ac:dyDescent="0.25">
      <c r="A434">
        <v>203624592</v>
      </c>
      <c r="B434" t="s">
        <v>541</v>
      </c>
      <c r="G434">
        <v>58</v>
      </c>
      <c r="H434" t="s">
        <v>32</v>
      </c>
      <c r="I434">
        <v>675</v>
      </c>
      <c r="J434">
        <v>675.1</v>
      </c>
      <c r="L434" t="s">
        <v>12</v>
      </c>
      <c r="M434" t="b">
        <v>0</v>
      </c>
      <c r="O434" s="1">
        <v>46193.801504629628</v>
      </c>
    </row>
    <row r="435" spans="1:15" x14ac:dyDescent="0.25">
      <c r="A435">
        <v>-150255279</v>
      </c>
      <c r="B435" t="s">
        <v>541</v>
      </c>
      <c r="G435">
        <v>35</v>
      </c>
      <c r="H435" t="s">
        <v>36</v>
      </c>
      <c r="I435">
        <v>161</v>
      </c>
      <c r="J435">
        <v>162.5</v>
      </c>
      <c r="L435" t="s">
        <v>12</v>
      </c>
      <c r="M435" t="b">
        <v>0</v>
      </c>
      <c r="O435" s="1">
        <v>46193.801504629628</v>
      </c>
    </row>
    <row r="436" spans="1:15" x14ac:dyDescent="0.25">
      <c r="A436">
        <v>270182718</v>
      </c>
      <c r="B436" t="s">
        <v>541</v>
      </c>
      <c r="H436" t="s">
        <v>16</v>
      </c>
      <c r="I436">
        <v>3</v>
      </c>
      <c r="J436">
        <v>2.8</v>
      </c>
      <c r="L436" t="s">
        <v>15</v>
      </c>
      <c r="M436" t="b">
        <v>0</v>
      </c>
      <c r="O436" s="1">
        <v>46193.801504629628</v>
      </c>
    </row>
    <row r="437" spans="1:15" x14ac:dyDescent="0.25">
      <c r="A437">
        <v>1781960338</v>
      </c>
      <c r="B437" t="s">
        <v>543</v>
      </c>
      <c r="C437" t="s">
        <v>490</v>
      </c>
      <c r="D437" t="s">
        <v>491</v>
      </c>
      <c r="E437" t="s">
        <v>313</v>
      </c>
      <c r="F437">
        <v>50</v>
      </c>
      <c r="K437" s="1">
        <v>46193.832604166666</v>
      </c>
      <c r="M437" t="b">
        <v>1</v>
      </c>
      <c r="N437" s="1">
        <v>46198.697627314818</v>
      </c>
      <c r="O437" s="1">
        <v>46193.832604166666</v>
      </c>
    </row>
    <row r="438" spans="1:15" x14ac:dyDescent="0.25">
      <c r="A438">
        <v>-97633365</v>
      </c>
      <c r="B438" t="s">
        <v>543</v>
      </c>
      <c r="G438">
        <v>54</v>
      </c>
      <c r="H438" t="s">
        <v>162</v>
      </c>
      <c r="I438">
        <v>36.9</v>
      </c>
      <c r="J438">
        <v>37.1</v>
      </c>
      <c r="L438" t="s">
        <v>12</v>
      </c>
      <c r="M438" t="b">
        <v>0</v>
      </c>
      <c r="O438" s="1">
        <v>46193.832604166666</v>
      </c>
    </row>
    <row r="439" spans="1:15" x14ac:dyDescent="0.25">
      <c r="A439">
        <v>1467752208</v>
      </c>
      <c r="B439" t="s">
        <v>543</v>
      </c>
      <c r="G439">
        <v>33</v>
      </c>
      <c r="H439" t="s">
        <v>149</v>
      </c>
      <c r="I439">
        <v>7.45</v>
      </c>
      <c r="J439">
        <v>7.5</v>
      </c>
      <c r="L439" t="s">
        <v>12</v>
      </c>
      <c r="M439" t="b">
        <v>0</v>
      </c>
      <c r="O439" s="1">
        <v>46193.832604166666</v>
      </c>
    </row>
    <row r="440" spans="1:15" x14ac:dyDescent="0.25">
      <c r="A440">
        <v>1488573905</v>
      </c>
      <c r="B440" t="s">
        <v>543</v>
      </c>
      <c r="G440">
        <v>41</v>
      </c>
      <c r="H440" t="s">
        <v>29</v>
      </c>
      <c r="I440">
        <v>585</v>
      </c>
      <c r="J440">
        <v>584.79999999999995</v>
      </c>
      <c r="L440" t="s">
        <v>12</v>
      </c>
      <c r="M440" t="b">
        <v>0</v>
      </c>
      <c r="O440" s="1">
        <v>46193.832604166666</v>
      </c>
    </row>
    <row r="441" spans="1:15" x14ac:dyDescent="0.25">
      <c r="A441">
        <v>-1375446082</v>
      </c>
      <c r="B441" t="s">
        <v>543</v>
      </c>
      <c r="G441">
        <v>59</v>
      </c>
      <c r="H441" t="s">
        <v>31</v>
      </c>
      <c r="I441">
        <v>25</v>
      </c>
      <c r="J441">
        <v>25.3</v>
      </c>
      <c r="L441" t="s">
        <v>15</v>
      </c>
      <c r="M441" t="b">
        <v>0</v>
      </c>
      <c r="O441" s="1">
        <v>46193.832604166666</v>
      </c>
    </row>
    <row r="442" spans="1:15" x14ac:dyDescent="0.25">
      <c r="A442">
        <v>1781960732</v>
      </c>
      <c r="B442" t="s">
        <v>544</v>
      </c>
      <c r="C442" t="s">
        <v>545</v>
      </c>
      <c r="D442" t="s">
        <v>440</v>
      </c>
      <c r="E442" t="s">
        <v>336</v>
      </c>
      <c r="F442">
        <v>50</v>
      </c>
      <c r="K442" s="1">
        <v>46193.837175925924</v>
      </c>
      <c r="M442" t="b">
        <v>1</v>
      </c>
      <c r="N442" s="1">
        <v>46198.697627314818</v>
      </c>
      <c r="O442" s="1">
        <v>46193.837175925924</v>
      </c>
    </row>
    <row r="443" spans="1:15" x14ac:dyDescent="0.25">
      <c r="A443">
        <v>739278061</v>
      </c>
      <c r="B443" t="s">
        <v>544</v>
      </c>
      <c r="G443">
        <v>41</v>
      </c>
      <c r="H443" t="s">
        <v>29</v>
      </c>
      <c r="I443">
        <v>350</v>
      </c>
      <c r="J443">
        <v>350.5</v>
      </c>
      <c r="L443" t="s">
        <v>12</v>
      </c>
      <c r="M443" t="b">
        <v>0</v>
      </c>
      <c r="O443" s="1">
        <v>46193.837175925924</v>
      </c>
    </row>
    <row r="444" spans="1:15" x14ac:dyDescent="0.25">
      <c r="A444">
        <v>-379395158</v>
      </c>
      <c r="B444" t="s">
        <v>544</v>
      </c>
      <c r="G444">
        <v>35</v>
      </c>
      <c r="H444" t="s">
        <v>36</v>
      </c>
      <c r="I444">
        <v>12</v>
      </c>
      <c r="J444">
        <v>13.1</v>
      </c>
      <c r="L444" t="s">
        <v>15</v>
      </c>
      <c r="M444" t="b">
        <v>0</v>
      </c>
      <c r="O444" s="1">
        <v>46193.837175925924</v>
      </c>
    </row>
    <row r="445" spans="1:15" x14ac:dyDescent="0.25">
      <c r="A445">
        <v>-143867677</v>
      </c>
      <c r="B445" t="s">
        <v>544</v>
      </c>
      <c r="G445">
        <v>16</v>
      </c>
      <c r="H445" t="s">
        <v>13</v>
      </c>
      <c r="I445">
        <v>57.15</v>
      </c>
      <c r="J445">
        <v>57.5</v>
      </c>
      <c r="L445" t="s">
        <v>12</v>
      </c>
      <c r="M445" t="b">
        <v>0</v>
      </c>
      <c r="O445" s="1">
        <v>46193.837175925924</v>
      </c>
    </row>
    <row r="446" spans="1:15" x14ac:dyDescent="0.25">
      <c r="A446">
        <v>1781960907</v>
      </c>
      <c r="B446" t="s">
        <v>546</v>
      </c>
      <c r="C446" t="s">
        <v>338</v>
      </c>
      <c r="D446" t="s">
        <v>547</v>
      </c>
      <c r="E446" t="s">
        <v>336</v>
      </c>
      <c r="F446">
        <v>50</v>
      </c>
      <c r="K446" s="1">
        <v>46193.839201388888</v>
      </c>
      <c r="M446" t="b">
        <v>1</v>
      </c>
      <c r="N446" s="1">
        <v>46198.697627314818</v>
      </c>
      <c r="O446" s="1">
        <v>46193.839201388888</v>
      </c>
    </row>
    <row r="447" spans="1:15" x14ac:dyDescent="0.25">
      <c r="A447">
        <v>762172848</v>
      </c>
      <c r="B447" t="s">
        <v>546</v>
      </c>
      <c r="G447">
        <v>41</v>
      </c>
      <c r="H447" t="s">
        <v>29</v>
      </c>
      <c r="I447">
        <v>875</v>
      </c>
      <c r="J447">
        <v>875.8</v>
      </c>
      <c r="L447" t="s">
        <v>12</v>
      </c>
      <c r="M447" t="b">
        <v>0</v>
      </c>
      <c r="O447" s="1">
        <v>46193.839201388888</v>
      </c>
    </row>
    <row r="448" spans="1:15" x14ac:dyDescent="0.25">
      <c r="A448">
        <v>-1505054735</v>
      </c>
      <c r="B448" t="s">
        <v>546</v>
      </c>
      <c r="G448">
        <v>68</v>
      </c>
      <c r="H448" t="s">
        <v>14</v>
      </c>
      <c r="I448">
        <v>75</v>
      </c>
      <c r="J448">
        <v>75.900000000000006</v>
      </c>
      <c r="L448" t="s">
        <v>15</v>
      </c>
      <c r="M448" t="b">
        <v>0</v>
      </c>
      <c r="O448" s="1">
        <v>46193.839201388888</v>
      </c>
    </row>
    <row r="449" spans="1:15" x14ac:dyDescent="0.25">
      <c r="A449">
        <v>1551070046</v>
      </c>
      <c r="B449" t="s">
        <v>546</v>
      </c>
      <c r="G449">
        <v>11</v>
      </c>
      <c r="H449" t="s">
        <v>33</v>
      </c>
      <c r="I449">
        <v>25</v>
      </c>
      <c r="J449">
        <v>24.6</v>
      </c>
      <c r="L449" t="s">
        <v>15</v>
      </c>
      <c r="M449" t="b">
        <v>0</v>
      </c>
      <c r="O449" s="1">
        <v>46193.839201388888</v>
      </c>
    </row>
    <row r="450" spans="1:15" x14ac:dyDescent="0.25">
      <c r="A450">
        <v>1781963753</v>
      </c>
      <c r="B450" t="s">
        <v>548</v>
      </c>
      <c r="C450" t="s">
        <v>549</v>
      </c>
      <c r="D450" t="s">
        <v>550</v>
      </c>
      <c r="E450" t="s">
        <v>340</v>
      </c>
      <c r="F450">
        <v>250</v>
      </c>
      <c r="K450" s="1">
        <v>46193.872141203705</v>
      </c>
      <c r="M450" t="b">
        <v>1</v>
      </c>
      <c r="N450" s="1">
        <v>46198.697627314818</v>
      </c>
      <c r="O450" s="1">
        <v>46193.872141203705</v>
      </c>
    </row>
    <row r="451" spans="1:15" x14ac:dyDescent="0.25">
      <c r="A451">
        <v>-387138058</v>
      </c>
      <c r="B451" t="s">
        <v>548</v>
      </c>
      <c r="G451">
        <v>41</v>
      </c>
      <c r="H451" t="s">
        <v>29</v>
      </c>
      <c r="I451">
        <v>5000</v>
      </c>
      <c r="J451">
        <v>4978.8</v>
      </c>
      <c r="L451" t="s">
        <v>12</v>
      </c>
      <c r="M451" t="b">
        <v>0</v>
      </c>
      <c r="O451" s="1">
        <v>46193.872141203705</v>
      </c>
    </row>
    <row r="452" spans="1:15" x14ac:dyDescent="0.25">
      <c r="A452">
        <v>-741840833</v>
      </c>
      <c r="B452" t="s">
        <v>548</v>
      </c>
      <c r="G452">
        <v>58</v>
      </c>
      <c r="H452" t="s">
        <v>32</v>
      </c>
      <c r="I452">
        <v>1000</v>
      </c>
      <c r="J452">
        <v>1003.7</v>
      </c>
      <c r="L452" t="s">
        <v>12</v>
      </c>
      <c r="M452" t="b">
        <v>0</v>
      </c>
      <c r="O452" s="1">
        <v>46193.872141203705</v>
      </c>
    </row>
    <row r="453" spans="1:15" x14ac:dyDescent="0.25">
      <c r="A453">
        <v>1554181396</v>
      </c>
      <c r="B453" t="s">
        <v>548</v>
      </c>
      <c r="G453">
        <v>40</v>
      </c>
      <c r="H453" t="s">
        <v>127</v>
      </c>
      <c r="I453">
        <v>3750</v>
      </c>
      <c r="J453">
        <v>3774.8</v>
      </c>
      <c r="L453" t="s">
        <v>12</v>
      </c>
      <c r="M453" t="b">
        <v>0</v>
      </c>
      <c r="O453" s="1">
        <v>46193.872141203705</v>
      </c>
    </row>
    <row r="454" spans="1:15" x14ac:dyDescent="0.25">
      <c r="A454">
        <v>1781965558</v>
      </c>
      <c r="B454" t="s">
        <v>551</v>
      </c>
      <c r="C454" t="s">
        <v>356</v>
      </c>
      <c r="D454" t="s">
        <v>552</v>
      </c>
      <c r="E454" t="s">
        <v>336</v>
      </c>
      <c r="F454">
        <v>250</v>
      </c>
      <c r="K454" s="1">
        <v>46193.89303240741</v>
      </c>
      <c r="M454" t="b">
        <v>1</v>
      </c>
      <c r="N454" s="1">
        <v>46198.697627314818</v>
      </c>
      <c r="O454" s="1">
        <v>46193.89303240741</v>
      </c>
    </row>
    <row r="455" spans="1:15" x14ac:dyDescent="0.25">
      <c r="A455">
        <v>830712127</v>
      </c>
      <c r="B455" t="s">
        <v>551</v>
      </c>
      <c r="G455">
        <v>41</v>
      </c>
      <c r="H455" t="s">
        <v>29</v>
      </c>
      <c r="I455">
        <v>5000</v>
      </c>
      <c r="J455">
        <v>5019</v>
      </c>
      <c r="L455" t="s">
        <v>12</v>
      </c>
      <c r="M455" t="b">
        <v>0</v>
      </c>
      <c r="O455" s="1">
        <v>46193.89303240741</v>
      </c>
    </row>
    <row r="456" spans="1:15" x14ac:dyDescent="0.25">
      <c r="A456">
        <v>1391680020</v>
      </c>
      <c r="B456" t="s">
        <v>551</v>
      </c>
      <c r="G456">
        <v>16</v>
      </c>
      <c r="H456" t="s">
        <v>13</v>
      </c>
      <c r="I456">
        <v>750</v>
      </c>
      <c r="J456">
        <v>745</v>
      </c>
      <c r="L456" t="s">
        <v>12</v>
      </c>
      <c r="M456" t="b">
        <v>0</v>
      </c>
      <c r="O456" s="1">
        <v>46193.89303240741</v>
      </c>
    </row>
    <row r="457" spans="1:15" x14ac:dyDescent="0.25">
      <c r="A457">
        <v>1488244101</v>
      </c>
      <c r="B457" t="s">
        <v>551</v>
      </c>
      <c r="G457">
        <v>35</v>
      </c>
      <c r="H457" t="s">
        <v>36</v>
      </c>
      <c r="I457">
        <v>350</v>
      </c>
      <c r="J457">
        <v>349.1</v>
      </c>
      <c r="L457" t="s">
        <v>12</v>
      </c>
      <c r="M457" t="b">
        <v>0</v>
      </c>
      <c r="O457" s="1">
        <v>46193.89303240741</v>
      </c>
    </row>
    <row r="458" spans="1:15" x14ac:dyDescent="0.25">
      <c r="A458">
        <v>1781969324</v>
      </c>
      <c r="B458" t="s">
        <v>553</v>
      </c>
      <c r="C458" t="s">
        <v>554</v>
      </c>
      <c r="D458" t="s">
        <v>482</v>
      </c>
      <c r="E458" t="s">
        <v>336</v>
      </c>
      <c r="F458">
        <v>50</v>
      </c>
      <c r="K458" s="1">
        <v>46193.936620370368</v>
      </c>
      <c r="M458" t="b">
        <v>1</v>
      </c>
      <c r="N458" s="1">
        <v>46198.697627314818</v>
      </c>
      <c r="O458" s="1">
        <v>46193.936620370368</v>
      </c>
    </row>
    <row r="459" spans="1:15" x14ac:dyDescent="0.25">
      <c r="A459">
        <v>-566377667</v>
      </c>
      <c r="B459" t="s">
        <v>553</v>
      </c>
      <c r="H459" t="s">
        <v>29</v>
      </c>
      <c r="I459">
        <v>325</v>
      </c>
      <c r="J459">
        <v>321.39999999999998</v>
      </c>
      <c r="L459" t="s">
        <v>15</v>
      </c>
      <c r="M459" t="b">
        <v>0</v>
      </c>
      <c r="O459" s="1">
        <v>46193.936620370368</v>
      </c>
    </row>
    <row r="460" spans="1:15" x14ac:dyDescent="0.25">
      <c r="A460">
        <v>-326885446</v>
      </c>
      <c r="B460" t="s">
        <v>553</v>
      </c>
      <c r="G460">
        <v>70</v>
      </c>
      <c r="H460" t="s">
        <v>167</v>
      </c>
      <c r="I460">
        <v>67.5</v>
      </c>
      <c r="J460">
        <v>71.7</v>
      </c>
      <c r="L460" t="s">
        <v>15</v>
      </c>
      <c r="M460" t="b">
        <v>0</v>
      </c>
      <c r="O460" s="1">
        <v>46193.936620370368</v>
      </c>
    </row>
    <row r="461" spans="1:15" x14ac:dyDescent="0.25">
      <c r="A461">
        <v>339390387</v>
      </c>
      <c r="B461" t="s">
        <v>553</v>
      </c>
      <c r="G461">
        <v>11</v>
      </c>
      <c r="H461" t="s">
        <v>33</v>
      </c>
      <c r="I461">
        <v>15.5</v>
      </c>
      <c r="J461">
        <v>15.6</v>
      </c>
      <c r="L461" t="s">
        <v>12</v>
      </c>
      <c r="M461" t="b">
        <v>0</v>
      </c>
      <c r="O461" s="1">
        <v>46193.936620370368</v>
      </c>
    </row>
    <row r="462" spans="1:15" x14ac:dyDescent="0.25">
      <c r="A462">
        <v>1781970893</v>
      </c>
      <c r="B462" t="s">
        <v>555</v>
      </c>
      <c r="C462" t="s">
        <v>430</v>
      </c>
      <c r="D462" t="s">
        <v>431</v>
      </c>
      <c r="E462" t="s">
        <v>313</v>
      </c>
      <c r="F462">
        <v>250</v>
      </c>
      <c r="K462" s="1">
        <v>46193.954780092594</v>
      </c>
      <c r="M462" t="b">
        <v>1</v>
      </c>
      <c r="N462" s="1">
        <v>46198.697627314818</v>
      </c>
      <c r="O462" s="1">
        <v>46193.954780092594</v>
      </c>
    </row>
    <row r="463" spans="1:15" x14ac:dyDescent="0.25">
      <c r="A463">
        <v>-2030011126</v>
      </c>
      <c r="B463" t="s">
        <v>555</v>
      </c>
      <c r="G463">
        <v>41</v>
      </c>
      <c r="H463" t="s">
        <v>29</v>
      </c>
      <c r="I463">
        <v>3450</v>
      </c>
      <c r="J463">
        <v>3478.3</v>
      </c>
      <c r="L463" t="s">
        <v>12</v>
      </c>
      <c r="M463" t="b">
        <v>0</v>
      </c>
      <c r="O463" s="1">
        <v>46193.954780092594</v>
      </c>
    </row>
    <row r="464" spans="1:15" x14ac:dyDescent="0.25">
      <c r="A464">
        <v>-1142098237</v>
      </c>
      <c r="B464" t="s">
        <v>555</v>
      </c>
      <c r="G464">
        <v>35</v>
      </c>
      <c r="H464" t="s">
        <v>36</v>
      </c>
      <c r="I464">
        <v>480</v>
      </c>
      <c r="J464">
        <v>481.3</v>
      </c>
      <c r="L464" t="s">
        <v>12</v>
      </c>
      <c r="M464" t="b">
        <v>0</v>
      </c>
      <c r="O464" s="1">
        <v>46193.954780092594</v>
      </c>
    </row>
    <row r="465" spans="1:15" x14ac:dyDescent="0.25">
      <c r="A465">
        <v>270176840</v>
      </c>
      <c r="B465" t="s">
        <v>555</v>
      </c>
      <c r="G465">
        <v>44</v>
      </c>
      <c r="H465" t="s">
        <v>16</v>
      </c>
      <c r="I465">
        <v>85</v>
      </c>
      <c r="J465">
        <v>85.7</v>
      </c>
      <c r="L465" t="s">
        <v>12</v>
      </c>
      <c r="M465" t="b">
        <v>0</v>
      </c>
      <c r="O465" s="1">
        <v>46193.954780092594</v>
      </c>
    </row>
    <row r="466" spans="1:15" x14ac:dyDescent="0.25">
      <c r="A466">
        <v>1781971925</v>
      </c>
      <c r="B466" t="s">
        <v>556</v>
      </c>
      <c r="C466" t="s">
        <v>427</v>
      </c>
      <c r="D466" t="s">
        <v>428</v>
      </c>
      <c r="E466" t="s">
        <v>313</v>
      </c>
      <c r="F466">
        <v>50</v>
      </c>
      <c r="K466" s="1">
        <v>46193.966724537036</v>
      </c>
      <c r="M466" t="b">
        <v>1</v>
      </c>
      <c r="N466" s="1">
        <v>46198.697627314818</v>
      </c>
      <c r="O466" s="1">
        <v>46193.966724537036</v>
      </c>
    </row>
    <row r="467" spans="1:15" x14ac:dyDescent="0.25">
      <c r="A467">
        <v>1688232562</v>
      </c>
      <c r="B467" t="s">
        <v>556</v>
      </c>
      <c r="G467">
        <v>41</v>
      </c>
      <c r="H467" t="s">
        <v>29</v>
      </c>
      <c r="I467">
        <v>400</v>
      </c>
      <c r="J467">
        <v>402</v>
      </c>
      <c r="L467" t="s">
        <v>12</v>
      </c>
      <c r="M467" t="b">
        <v>0</v>
      </c>
      <c r="O467" s="1">
        <v>46193.966724537036</v>
      </c>
    </row>
    <row r="468" spans="1:15" x14ac:dyDescent="0.25">
      <c r="A468">
        <v>-1423721973</v>
      </c>
      <c r="B468" t="s">
        <v>556</v>
      </c>
      <c r="G468">
        <v>50</v>
      </c>
      <c r="H468" t="s">
        <v>157</v>
      </c>
      <c r="I468">
        <v>80</v>
      </c>
      <c r="J468">
        <v>79.7</v>
      </c>
      <c r="L468" t="s">
        <v>12</v>
      </c>
      <c r="M468" t="b">
        <v>0</v>
      </c>
      <c r="O468" s="1">
        <v>46193.966724537036</v>
      </c>
    </row>
    <row r="469" spans="1:15" x14ac:dyDescent="0.25">
      <c r="A469">
        <v>-1171417616</v>
      </c>
      <c r="B469" t="s">
        <v>556</v>
      </c>
      <c r="G469">
        <v>16</v>
      </c>
      <c r="H469" t="s">
        <v>13</v>
      </c>
      <c r="I469">
        <v>90</v>
      </c>
      <c r="J469">
        <v>89.8</v>
      </c>
      <c r="L469" t="s">
        <v>12</v>
      </c>
      <c r="M469" t="b">
        <v>0</v>
      </c>
      <c r="O469" s="1">
        <v>46193.966724537036</v>
      </c>
    </row>
    <row r="470" spans="1:15" x14ac:dyDescent="0.25">
      <c r="A470">
        <v>1781975215</v>
      </c>
      <c r="B470" t="s">
        <v>557</v>
      </c>
      <c r="C470" t="s">
        <v>392</v>
      </c>
      <c r="D470" t="s">
        <v>456</v>
      </c>
      <c r="E470" t="s">
        <v>313</v>
      </c>
      <c r="F470">
        <v>100</v>
      </c>
      <c r="K470" s="1">
        <v>46194.004803240743</v>
      </c>
      <c r="M470" t="b">
        <v>1</v>
      </c>
      <c r="N470" s="1">
        <v>46198.697627314818</v>
      </c>
      <c r="O470" s="1">
        <v>46194.004803240743</v>
      </c>
    </row>
    <row r="471" spans="1:15" x14ac:dyDescent="0.25">
      <c r="A471">
        <v>-458325820</v>
      </c>
      <c r="B471" t="s">
        <v>557</v>
      </c>
      <c r="G471">
        <v>41</v>
      </c>
      <c r="H471" t="s">
        <v>29</v>
      </c>
      <c r="I471">
        <v>600</v>
      </c>
      <c r="J471">
        <v>597.20000000000005</v>
      </c>
      <c r="L471" t="s">
        <v>12</v>
      </c>
      <c r="M471" t="b">
        <v>0</v>
      </c>
      <c r="O471" s="1">
        <v>46194.004803240743</v>
      </c>
    </row>
    <row r="472" spans="1:15" x14ac:dyDescent="0.25">
      <c r="A472">
        <v>1465694837</v>
      </c>
      <c r="B472" t="s">
        <v>557</v>
      </c>
      <c r="G472">
        <v>59</v>
      </c>
      <c r="H472" t="s">
        <v>31</v>
      </c>
      <c r="I472">
        <v>400</v>
      </c>
      <c r="J472">
        <v>398.4</v>
      </c>
      <c r="L472" t="s">
        <v>12</v>
      </c>
      <c r="M472" t="b">
        <v>0</v>
      </c>
      <c r="O472" s="1">
        <v>46194.004803240743</v>
      </c>
    </row>
    <row r="473" spans="1:15" x14ac:dyDescent="0.25">
      <c r="A473">
        <v>-1089346414</v>
      </c>
      <c r="B473" t="s">
        <v>557</v>
      </c>
      <c r="G473">
        <v>35</v>
      </c>
      <c r="H473" t="s">
        <v>36</v>
      </c>
      <c r="I473">
        <v>140</v>
      </c>
      <c r="J473">
        <v>139.80000000000001</v>
      </c>
      <c r="L473" t="s">
        <v>12</v>
      </c>
      <c r="M473" t="b">
        <v>0</v>
      </c>
      <c r="O473" s="1">
        <v>46194.004803240743</v>
      </c>
    </row>
    <row r="474" spans="1:15" x14ac:dyDescent="0.25">
      <c r="A474">
        <v>1946180011</v>
      </c>
      <c r="B474" t="s">
        <v>557</v>
      </c>
      <c r="G474">
        <v>11</v>
      </c>
      <c r="H474" t="s">
        <v>33</v>
      </c>
      <c r="I474">
        <v>26</v>
      </c>
      <c r="J474">
        <v>26.7</v>
      </c>
      <c r="L474" t="s">
        <v>15</v>
      </c>
      <c r="M474" t="b">
        <v>0</v>
      </c>
      <c r="O474" s="1">
        <v>46194.004803240743</v>
      </c>
    </row>
    <row r="475" spans="1:15" x14ac:dyDescent="0.25">
      <c r="A475">
        <v>1781979206</v>
      </c>
      <c r="B475" t="s">
        <v>558</v>
      </c>
      <c r="C475" t="s">
        <v>338</v>
      </c>
      <c r="D475" t="s">
        <v>559</v>
      </c>
      <c r="E475" t="s">
        <v>336</v>
      </c>
      <c r="F475">
        <v>50</v>
      </c>
      <c r="K475" s="1">
        <v>46194.050995370373</v>
      </c>
      <c r="M475" t="b">
        <v>1</v>
      </c>
      <c r="N475" s="1">
        <v>46198.697627314818</v>
      </c>
      <c r="O475" s="1">
        <v>46194.050995370373</v>
      </c>
    </row>
    <row r="476" spans="1:15" x14ac:dyDescent="0.25">
      <c r="A476">
        <v>628287567</v>
      </c>
      <c r="B476" t="s">
        <v>558</v>
      </c>
      <c r="G476">
        <v>41</v>
      </c>
      <c r="H476" t="s">
        <v>29</v>
      </c>
      <c r="I476">
        <v>750</v>
      </c>
      <c r="J476">
        <v>754.4</v>
      </c>
      <c r="L476" t="s">
        <v>12</v>
      </c>
      <c r="M476" t="b">
        <v>0</v>
      </c>
      <c r="O476" s="1">
        <v>46194.050995370373</v>
      </c>
    </row>
    <row r="477" spans="1:15" x14ac:dyDescent="0.25">
      <c r="A477">
        <v>-1700147228</v>
      </c>
      <c r="B477" t="s">
        <v>558</v>
      </c>
      <c r="G477">
        <v>0</v>
      </c>
      <c r="H477" t="s">
        <v>193</v>
      </c>
      <c r="I477">
        <v>40</v>
      </c>
      <c r="J477">
        <v>40.1</v>
      </c>
      <c r="L477" t="s">
        <v>12</v>
      </c>
      <c r="M477" t="b">
        <v>0</v>
      </c>
      <c r="O477" s="1">
        <v>46194.050995370373</v>
      </c>
    </row>
    <row r="478" spans="1:15" x14ac:dyDescent="0.25">
      <c r="A478">
        <v>1168139029</v>
      </c>
      <c r="B478" t="s">
        <v>558</v>
      </c>
      <c r="G478">
        <v>11</v>
      </c>
      <c r="H478" t="s">
        <v>33</v>
      </c>
      <c r="I478">
        <v>10</v>
      </c>
      <c r="J478">
        <v>10</v>
      </c>
      <c r="L478" t="s">
        <v>12</v>
      </c>
      <c r="M478" t="b">
        <v>0</v>
      </c>
      <c r="O478" s="1">
        <v>46194.050995370373</v>
      </c>
    </row>
    <row r="479" spans="1:15" x14ac:dyDescent="0.25">
      <c r="A479">
        <v>1781980007</v>
      </c>
      <c r="B479" t="s">
        <v>560</v>
      </c>
      <c r="C479" t="s">
        <v>522</v>
      </c>
      <c r="D479">
        <v>222</v>
      </c>
      <c r="E479" t="s">
        <v>336</v>
      </c>
      <c r="F479">
        <v>50</v>
      </c>
      <c r="K479" s="1">
        <v>46194.060266203705</v>
      </c>
      <c r="M479" t="b">
        <v>1</v>
      </c>
      <c r="N479" s="1">
        <v>46198.697627314818</v>
      </c>
      <c r="O479" s="1">
        <v>46194.060266203705</v>
      </c>
    </row>
    <row r="480" spans="1:15" x14ac:dyDescent="0.25">
      <c r="A480">
        <v>193141532</v>
      </c>
      <c r="B480" t="s">
        <v>560</v>
      </c>
      <c r="G480">
        <v>41</v>
      </c>
      <c r="H480" t="s">
        <v>29</v>
      </c>
      <c r="I480">
        <v>600</v>
      </c>
      <c r="J480">
        <v>601.20000000000005</v>
      </c>
      <c r="L480" t="s">
        <v>12</v>
      </c>
      <c r="M480" t="b">
        <v>0</v>
      </c>
      <c r="O480" s="1">
        <v>46194.060266203705</v>
      </c>
    </row>
    <row r="481" spans="1:15" x14ac:dyDescent="0.25">
      <c r="A481">
        <v>191294445</v>
      </c>
      <c r="B481" t="s">
        <v>560</v>
      </c>
      <c r="G481">
        <v>16</v>
      </c>
      <c r="H481" t="s">
        <v>13</v>
      </c>
      <c r="I481">
        <v>48</v>
      </c>
      <c r="J481">
        <v>48.4</v>
      </c>
      <c r="L481" t="s">
        <v>12</v>
      </c>
      <c r="M481" t="b">
        <v>0</v>
      </c>
      <c r="O481" s="1">
        <v>46194.060266203705</v>
      </c>
    </row>
    <row r="482" spans="1:15" x14ac:dyDescent="0.25">
      <c r="A482">
        <v>1781981683</v>
      </c>
      <c r="B482" t="s">
        <v>561</v>
      </c>
      <c r="C482" t="s">
        <v>345</v>
      </c>
      <c r="D482" t="s">
        <v>494</v>
      </c>
      <c r="E482" t="s">
        <v>313</v>
      </c>
      <c r="F482">
        <v>50</v>
      </c>
      <c r="K482" s="1">
        <v>46194.079664351855</v>
      </c>
      <c r="M482" t="b">
        <v>1</v>
      </c>
      <c r="N482" s="1">
        <v>46198.697627314818</v>
      </c>
      <c r="O482" s="1">
        <v>46194.079664351855</v>
      </c>
    </row>
    <row r="483" spans="1:15" x14ac:dyDescent="0.25">
      <c r="A483">
        <v>-127530568</v>
      </c>
      <c r="B483" t="s">
        <v>561</v>
      </c>
      <c r="G483">
        <v>41</v>
      </c>
      <c r="H483" t="s">
        <v>29</v>
      </c>
      <c r="I483">
        <v>202.5</v>
      </c>
      <c r="J483">
        <v>204.1</v>
      </c>
      <c r="L483" t="s">
        <v>12</v>
      </c>
      <c r="M483" t="b">
        <v>0</v>
      </c>
      <c r="O483" s="1">
        <v>46194.079664351855</v>
      </c>
    </row>
    <row r="484" spans="1:15" x14ac:dyDescent="0.25">
      <c r="A484">
        <v>749405529</v>
      </c>
      <c r="B484" t="s">
        <v>561</v>
      </c>
      <c r="G484">
        <v>35</v>
      </c>
      <c r="H484" t="s">
        <v>36</v>
      </c>
      <c r="I484">
        <v>36.5</v>
      </c>
      <c r="J484">
        <v>34.799999999999997</v>
      </c>
      <c r="L484" t="s">
        <v>15</v>
      </c>
      <c r="M484" t="b">
        <v>0</v>
      </c>
      <c r="O484" s="1">
        <v>46194.079664351855</v>
      </c>
    </row>
    <row r="485" spans="1:15" x14ac:dyDescent="0.25">
      <c r="A485">
        <v>-635574618</v>
      </c>
      <c r="B485" t="s">
        <v>561</v>
      </c>
      <c r="G485">
        <v>16</v>
      </c>
      <c r="H485" t="s">
        <v>13</v>
      </c>
      <c r="I485">
        <v>25</v>
      </c>
      <c r="J485">
        <v>23.7</v>
      </c>
      <c r="L485" t="s">
        <v>15</v>
      </c>
      <c r="M485" t="b">
        <v>0</v>
      </c>
      <c r="O485" s="1">
        <v>46194.079664351855</v>
      </c>
    </row>
    <row r="486" spans="1:15" x14ac:dyDescent="0.25">
      <c r="A486">
        <v>1781981942</v>
      </c>
      <c r="B486" t="s">
        <v>562</v>
      </c>
      <c r="C486" t="s">
        <v>518</v>
      </c>
      <c r="D486" t="s">
        <v>563</v>
      </c>
      <c r="E486" t="s">
        <v>340</v>
      </c>
      <c r="F486">
        <v>50</v>
      </c>
      <c r="K486" s="1">
        <v>46194.082662037035</v>
      </c>
      <c r="M486" t="b">
        <v>1</v>
      </c>
      <c r="N486" s="1">
        <v>46198.697627314818</v>
      </c>
      <c r="O486" s="1">
        <v>46194.082662037035</v>
      </c>
    </row>
    <row r="487" spans="1:15" x14ac:dyDescent="0.25">
      <c r="A487">
        <v>1796139327</v>
      </c>
      <c r="B487" t="s">
        <v>562</v>
      </c>
      <c r="G487">
        <v>41</v>
      </c>
      <c r="H487" t="s">
        <v>29</v>
      </c>
      <c r="I487">
        <v>865</v>
      </c>
      <c r="J487">
        <v>863.7</v>
      </c>
      <c r="L487" t="s">
        <v>12</v>
      </c>
      <c r="M487" t="b">
        <v>0</v>
      </c>
      <c r="O487" s="1">
        <v>46194.082662037035</v>
      </c>
    </row>
    <row r="488" spans="1:15" x14ac:dyDescent="0.25">
      <c r="A488">
        <v>-1947362796</v>
      </c>
      <c r="B488" t="s">
        <v>562</v>
      </c>
      <c r="G488">
        <v>58</v>
      </c>
      <c r="H488" t="s">
        <v>32</v>
      </c>
      <c r="I488">
        <v>257.5</v>
      </c>
      <c r="J488">
        <v>252.2</v>
      </c>
      <c r="L488" t="s">
        <v>15</v>
      </c>
      <c r="M488" t="b">
        <v>0</v>
      </c>
      <c r="O488" s="1">
        <v>46194.082662037035</v>
      </c>
    </row>
    <row r="489" spans="1:15" x14ac:dyDescent="0.25">
      <c r="A489">
        <v>842141061</v>
      </c>
      <c r="B489" t="s">
        <v>562</v>
      </c>
      <c r="G489">
        <v>35</v>
      </c>
      <c r="H489" t="s">
        <v>36</v>
      </c>
      <c r="I489">
        <v>7.3</v>
      </c>
      <c r="J489">
        <v>6.6</v>
      </c>
      <c r="L489" t="s">
        <v>15</v>
      </c>
      <c r="M489" t="b">
        <v>0</v>
      </c>
      <c r="O489" s="1">
        <v>46194.082662037035</v>
      </c>
    </row>
    <row r="490" spans="1:15" x14ac:dyDescent="0.25">
      <c r="A490">
        <v>1395777122</v>
      </c>
      <c r="B490" t="s">
        <v>562</v>
      </c>
      <c r="G490">
        <v>16</v>
      </c>
      <c r="H490" t="s">
        <v>13</v>
      </c>
      <c r="I490">
        <v>33.5</v>
      </c>
      <c r="J490">
        <v>34.6</v>
      </c>
      <c r="L490" t="s">
        <v>15</v>
      </c>
      <c r="M490" t="b">
        <v>0</v>
      </c>
      <c r="O490" s="1">
        <v>46194.082662037035</v>
      </c>
    </row>
    <row r="491" spans="1:15" x14ac:dyDescent="0.25">
      <c r="A491">
        <v>1781984896</v>
      </c>
      <c r="B491" t="s">
        <v>564</v>
      </c>
      <c r="C491" t="s">
        <v>385</v>
      </c>
      <c r="D491" t="s">
        <v>414</v>
      </c>
      <c r="E491" t="s">
        <v>340</v>
      </c>
      <c r="F491">
        <v>250</v>
      </c>
      <c r="K491" s="1">
        <v>46194.116851851853</v>
      </c>
      <c r="M491" t="b">
        <v>1</v>
      </c>
      <c r="N491" s="1">
        <v>46198.697627314818</v>
      </c>
      <c r="O491" s="1">
        <v>46194.116851851853</v>
      </c>
    </row>
    <row r="492" spans="1:15" x14ac:dyDescent="0.25">
      <c r="A492">
        <v>636415105</v>
      </c>
      <c r="B492" t="s">
        <v>564</v>
      </c>
      <c r="G492">
        <v>27</v>
      </c>
      <c r="H492" t="s">
        <v>143</v>
      </c>
      <c r="I492">
        <v>1250</v>
      </c>
      <c r="J492">
        <v>1258</v>
      </c>
      <c r="L492" t="s">
        <v>12</v>
      </c>
      <c r="M492" t="b">
        <v>0</v>
      </c>
      <c r="O492" s="1">
        <v>46194.116851851853</v>
      </c>
    </row>
    <row r="493" spans="1:15" x14ac:dyDescent="0.25">
      <c r="A493">
        <v>-1363445586</v>
      </c>
      <c r="B493" t="s">
        <v>564</v>
      </c>
      <c r="G493">
        <v>57</v>
      </c>
      <c r="H493" t="s">
        <v>17</v>
      </c>
      <c r="I493">
        <v>610</v>
      </c>
      <c r="J493">
        <v>612.9</v>
      </c>
      <c r="L493" t="s">
        <v>12</v>
      </c>
      <c r="M493" t="b">
        <v>0</v>
      </c>
      <c r="O493" s="1">
        <v>46194.116851851853</v>
      </c>
    </row>
    <row r="494" spans="1:15" x14ac:dyDescent="0.25">
      <c r="A494">
        <v>1793100439</v>
      </c>
      <c r="B494" t="s">
        <v>564</v>
      </c>
      <c r="H494" t="s">
        <v>29</v>
      </c>
      <c r="I494">
        <v>2340</v>
      </c>
      <c r="J494">
        <v>2341.3000000000002</v>
      </c>
      <c r="L494" t="s">
        <v>12</v>
      </c>
      <c r="M494" t="b">
        <v>0</v>
      </c>
      <c r="O494" s="1">
        <v>46194.116851851853</v>
      </c>
    </row>
    <row r="495" spans="1:15" x14ac:dyDescent="0.25">
      <c r="A495">
        <v>1781987367</v>
      </c>
      <c r="B495" t="s">
        <v>565</v>
      </c>
      <c r="C495" t="s">
        <v>566</v>
      </c>
      <c r="D495" t="s">
        <v>567</v>
      </c>
      <c r="E495" t="s">
        <v>336</v>
      </c>
      <c r="F495">
        <v>450</v>
      </c>
      <c r="K495" s="1">
        <v>46194.145451388889</v>
      </c>
      <c r="M495" t="b">
        <v>1</v>
      </c>
      <c r="N495" s="1">
        <v>46198.697627314818</v>
      </c>
      <c r="O495" s="1">
        <v>46194.145451388889</v>
      </c>
    </row>
    <row r="496" spans="1:15" x14ac:dyDescent="0.25">
      <c r="A496">
        <v>-1789089572</v>
      </c>
      <c r="B496" t="s">
        <v>565</v>
      </c>
      <c r="G496">
        <v>41</v>
      </c>
      <c r="H496" t="s">
        <v>29</v>
      </c>
      <c r="I496">
        <v>5805</v>
      </c>
      <c r="J496">
        <v>5813.7</v>
      </c>
      <c r="L496" t="s">
        <v>12</v>
      </c>
      <c r="M496" t="b">
        <v>0</v>
      </c>
      <c r="O496" s="1">
        <v>46194.145451388889</v>
      </c>
    </row>
    <row r="497" spans="1:15" x14ac:dyDescent="0.25">
      <c r="A497">
        <v>1811895981</v>
      </c>
      <c r="B497" t="s">
        <v>565</v>
      </c>
      <c r="G497">
        <v>35</v>
      </c>
      <c r="H497" t="s">
        <v>36</v>
      </c>
      <c r="I497">
        <v>450</v>
      </c>
      <c r="J497">
        <v>453.7</v>
      </c>
      <c r="L497" t="s">
        <v>12</v>
      </c>
      <c r="M497" t="b">
        <v>0</v>
      </c>
      <c r="O497" s="1">
        <v>46194.145451388889</v>
      </c>
    </row>
    <row r="498" spans="1:15" x14ac:dyDescent="0.25">
      <c r="A498">
        <v>1845602922</v>
      </c>
      <c r="B498" t="s">
        <v>565</v>
      </c>
      <c r="G498">
        <v>44</v>
      </c>
      <c r="H498" t="s">
        <v>16</v>
      </c>
      <c r="I498">
        <v>149.85</v>
      </c>
      <c r="J498">
        <v>151.69999999999999</v>
      </c>
      <c r="L498" t="s">
        <v>15</v>
      </c>
      <c r="M498" t="b">
        <v>0</v>
      </c>
      <c r="O498" s="1">
        <v>46194.145451388889</v>
      </c>
    </row>
    <row r="499" spans="1:15" x14ac:dyDescent="0.25">
      <c r="A499">
        <v>1781989946</v>
      </c>
      <c r="B499" t="s">
        <v>568</v>
      </c>
      <c r="C499" t="s">
        <v>345</v>
      </c>
      <c r="D499" t="s">
        <v>462</v>
      </c>
      <c r="E499" t="s">
        <v>336</v>
      </c>
      <c r="F499">
        <v>50</v>
      </c>
      <c r="K499" s="1">
        <v>46194.17528935185</v>
      </c>
      <c r="M499" t="b">
        <v>1</v>
      </c>
      <c r="N499" s="1">
        <v>46198.697627314818</v>
      </c>
      <c r="O499" s="1">
        <v>46194.17528935185</v>
      </c>
    </row>
    <row r="500" spans="1:15" x14ac:dyDescent="0.25">
      <c r="A500">
        <v>69959731</v>
      </c>
      <c r="B500" t="s">
        <v>568</v>
      </c>
      <c r="G500">
        <v>41</v>
      </c>
      <c r="H500" t="s">
        <v>29</v>
      </c>
      <c r="I500">
        <v>240</v>
      </c>
      <c r="J500">
        <v>240.17</v>
      </c>
      <c r="L500" t="s">
        <v>12</v>
      </c>
      <c r="M500" t="b">
        <v>0</v>
      </c>
      <c r="O500" s="1">
        <v>46194.17528935185</v>
      </c>
    </row>
    <row r="501" spans="1:15" x14ac:dyDescent="0.25">
      <c r="A501">
        <v>512973560</v>
      </c>
      <c r="B501" t="s">
        <v>568</v>
      </c>
      <c r="G501">
        <v>35</v>
      </c>
      <c r="H501" t="s">
        <v>36</v>
      </c>
      <c r="I501">
        <v>55</v>
      </c>
      <c r="J501">
        <v>54.69</v>
      </c>
      <c r="L501" t="s">
        <v>12</v>
      </c>
      <c r="M501" t="b">
        <v>0</v>
      </c>
      <c r="O501" s="1">
        <v>46194.17528935185</v>
      </c>
    </row>
    <row r="502" spans="1:15" x14ac:dyDescent="0.25">
      <c r="A502">
        <v>-1449013863</v>
      </c>
      <c r="B502" t="s">
        <v>568</v>
      </c>
      <c r="G502">
        <v>44</v>
      </c>
      <c r="H502" t="s">
        <v>16</v>
      </c>
      <c r="I502">
        <v>15</v>
      </c>
      <c r="J502">
        <v>15.04</v>
      </c>
      <c r="L502" t="s">
        <v>12</v>
      </c>
      <c r="M502" t="b">
        <v>0</v>
      </c>
      <c r="O502" s="1">
        <v>46194.17528935185</v>
      </c>
    </row>
    <row r="503" spans="1:15" x14ac:dyDescent="0.25">
      <c r="A503">
        <v>1781992535</v>
      </c>
      <c r="B503" t="s">
        <v>569</v>
      </c>
      <c r="C503" t="s">
        <v>342</v>
      </c>
      <c r="D503" t="s">
        <v>221</v>
      </c>
      <c r="E503" t="s">
        <v>336</v>
      </c>
      <c r="F503">
        <v>50</v>
      </c>
      <c r="K503" s="1">
        <v>46194.205254629633</v>
      </c>
      <c r="M503" t="b">
        <v>1</v>
      </c>
      <c r="N503" s="1">
        <v>46198.697627314818</v>
      </c>
      <c r="O503" s="1">
        <v>46194.205254629633</v>
      </c>
    </row>
    <row r="504" spans="1:15" x14ac:dyDescent="0.25">
      <c r="A504">
        <v>-1014803124</v>
      </c>
      <c r="B504" t="s">
        <v>569</v>
      </c>
      <c r="G504">
        <v>41</v>
      </c>
      <c r="H504" t="s">
        <v>29</v>
      </c>
      <c r="I504">
        <v>495.5</v>
      </c>
      <c r="J504">
        <v>498.9</v>
      </c>
      <c r="L504" t="s">
        <v>12</v>
      </c>
      <c r="M504" t="b">
        <v>0</v>
      </c>
      <c r="O504" s="1">
        <v>46194.205254629633</v>
      </c>
    </row>
    <row r="505" spans="1:15" x14ac:dyDescent="0.25">
      <c r="A505">
        <v>867714653</v>
      </c>
      <c r="B505" t="s">
        <v>569</v>
      </c>
      <c r="G505">
        <v>35</v>
      </c>
      <c r="H505" t="s">
        <v>36</v>
      </c>
      <c r="I505">
        <v>145.5</v>
      </c>
      <c r="J505">
        <v>145.5</v>
      </c>
      <c r="L505" t="s">
        <v>12</v>
      </c>
      <c r="M505" t="b">
        <v>0</v>
      </c>
      <c r="O505" s="1">
        <v>46194.205254629633</v>
      </c>
    </row>
    <row r="506" spans="1:15" x14ac:dyDescent="0.25">
      <c r="A506">
        <v>1781995291</v>
      </c>
      <c r="B506" t="s">
        <v>570</v>
      </c>
      <c r="C506" t="s">
        <v>518</v>
      </c>
      <c r="D506" t="s">
        <v>563</v>
      </c>
      <c r="E506" t="s">
        <v>340</v>
      </c>
      <c r="F506">
        <v>50</v>
      </c>
      <c r="K506" s="1">
        <v>46194.237164351849</v>
      </c>
      <c r="M506" t="b">
        <v>1</v>
      </c>
      <c r="N506" s="1">
        <v>46198.697627314818</v>
      </c>
      <c r="O506" s="1">
        <v>46194.237164351849</v>
      </c>
    </row>
    <row r="507" spans="1:15" x14ac:dyDescent="0.25">
      <c r="A507">
        <v>-1439608384</v>
      </c>
      <c r="B507" t="s">
        <v>570</v>
      </c>
      <c r="G507">
        <v>41</v>
      </c>
      <c r="H507" t="s">
        <v>29</v>
      </c>
      <c r="I507">
        <v>1000</v>
      </c>
      <c r="J507">
        <v>1008.2</v>
      </c>
      <c r="L507" t="s">
        <v>12</v>
      </c>
      <c r="M507" t="b">
        <v>0</v>
      </c>
      <c r="O507" s="1">
        <v>46194.237164351849</v>
      </c>
    </row>
    <row r="508" spans="1:15" x14ac:dyDescent="0.25">
      <c r="A508">
        <v>-367141183</v>
      </c>
      <c r="B508" t="s">
        <v>570</v>
      </c>
      <c r="G508">
        <v>58</v>
      </c>
      <c r="H508" t="s">
        <v>32</v>
      </c>
      <c r="I508">
        <v>250</v>
      </c>
      <c r="J508">
        <v>251</v>
      </c>
      <c r="L508" t="s">
        <v>12</v>
      </c>
      <c r="M508" t="b">
        <v>0</v>
      </c>
      <c r="O508" s="1">
        <v>46194.237164351849</v>
      </c>
    </row>
    <row r="509" spans="1:15" x14ac:dyDescent="0.25">
      <c r="A509">
        <v>-1465807378</v>
      </c>
      <c r="B509" t="s">
        <v>570</v>
      </c>
      <c r="G509">
        <v>35</v>
      </c>
      <c r="H509" t="s">
        <v>36</v>
      </c>
      <c r="I509">
        <v>8</v>
      </c>
      <c r="J509">
        <v>8.9</v>
      </c>
      <c r="L509" t="s">
        <v>15</v>
      </c>
      <c r="M509" t="b">
        <v>0</v>
      </c>
      <c r="O509" s="1">
        <v>46194.237164351849</v>
      </c>
    </row>
    <row r="510" spans="1:15" x14ac:dyDescent="0.25">
      <c r="A510">
        <v>527025879</v>
      </c>
      <c r="B510" t="s">
        <v>570</v>
      </c>
      <c r="G510">
        <v>16</v>
      </c>
      <c r="H510" t="s">
        <v>13</v>
      </c>
      <c r="I510">
        <v>33</v>
      </c>
      <c r="J510">
        <v>33.799999999999997</v>
      </c>
      <c r="L510" t="s">
        <v>15</v>
      </c>
      <c r="M510" t="b">
        <v>0</v>
      </c>
      <c r="O510" s="1">
        <v>46194.237164351849</v>
      </c>
    </row>
    <row r="511" spans="1:15" x14ac:dyDescent="0.25">
      <c r="A511">
        <v>1782002314</v>
      </c>
      <c r="B511" t="s">
        <v>571</v>
      </c>
      <c r="C511" t="s">
        <v>345</v>
      </c>
      <c r="D511" t="s">
        <v>371</v>
      </c>
      <c r="E511" t="s">
        <v>340</v>
      </c>
      <c r="F511">
        <v>50</v>
      </c>
      <c r="K511" s="1">
        <v>46194.318449074075</v>
      </c>
      <c r="M511" t="b">
        <v>1</v>
      </c>
      <c r="N511" s="1">
        <v>46198.697627314818</v>
      </c>
      <c r="O511" s="1">
        <v>46194.318449074075</v>
      </c>
    </row>
    <row r="512" spans="1:15" x14ac:dyDescent="0.25">
      <c r="A512">
        <v>-1281630653</v>
      </c>
      <c r="B512" t="s">
        <v>571</v>
      </c>
      <c r="G512">
        <v>41</v>
      </c>
      <c r="H512" t="s">
        <v>29</v>
      </c>
      <c r="I512">
        <v>225</v>
      </c>
      <c r="J512">
        <v>223.1</v>
      </c>
      <c r="L512" t="s">
        <v>12</v>
      </c>
      <c r="M512" t="b">
        <v>0</v>
      </c>
      <c r="O512" s="1">
        <v>46194.318449074075</v>
      </c>
    </row>
    <row r="513" spans="1:15" x14ac:dyDescent="0.25">
      <c r="A513">
        <v>500581320</v>
      </c>
      <c r="B513" t="s">
        <v>571</v>
      </c>
      <c r="G513">
        <v>35</v>
      </c>
      <c r="H513" t="s">
        <v>36</v>
      </c>
      <c r="I513">
        <v>30</v>
      </c>
      <c r="J513">
        <v>29.7</v>
      </c>
      <c r="L513" t="s">
        <v>15</v>
      </c>
      <c r="M513" t="b">
        <v>0</v>
      </c>
      <c r="O513" s="1">
        <v>46194.318449074075</v>
      </c>
    </row>
    <row r="514" spans="1:15" x14ac:dyDescent="0.25">
      <c r="A514">
        <v>-913335767</v>
      </c>
      <c r="B514" t="s">
        <v>571</v>
      </c>
      <c r="G514">
        <v>44</v>
      </c>
      <c r="H514" t="s">
        <v>16</v>
      </c>
      <c r="I514">
        <v>14</v>
      </c>
      <c r="J514">
        <v>14.1</v>
      </c>
      <c r="L514" t="s">
        <v>12</v>
      </c>
      <c r="M514" t="b">
        <v>0</v>
      </c>
      <c r="O514" s="1">
        <v>46194.318449074075</v>
      </c>
    </row>
    <row r="515" spans="1:15" x14ac:dyDescent="0.25">
      <c r="A515">
        <v>1782003973</v>
      </c>
      <c r="B515" t="s">
        <v>572</v>
      </c>
      <c r="C515" t="s">
        <v>430</v>
      </c>
      <c r="D515" t="s">
        <v>431</v>
      </c>
      <c r="E515" t="s">
        <v>313</v>
      </c>
      <c r="F515">
        <v>250</v>
      </c>
      <c r="K515" s="1">
        <v>46194.337650462963</v>
      </c>
      <c r="M515" t="b">
        <v>1</v>
      </c>
      <c r="N515" s="1">
        <v>46198.697627314818</v>
      </c>
      <c r="O515" s="1">
        <v>46194.337650462963</v>
      </c>
    </row>
    <row r="516" spans="1:15" x14ac:dyDescent="0.25">
      <c r="A516">
        <v>825197538</v>
      </c>
      <c r="B516" t="s">
        <v>572</v>
      </c>
      <c r="G516">
        <v>41</v>
      </c>
      <c r="H516" t="s">
        <v>29</v>
      </c>
      <c r="I516">
        <v>2760</v>
      </c>
      <c r="J516">
        <v>2773</v>
      </c>
      <c r="L516" t="s">
        <v>12</v>
      </c>
      <c r="M516" t="b">
        <v>0</v>
      </c>
      <c r="O516" s="1">
        <v>46194.337650462963</v>
      </c>
    </row>
    <row r="517" spans="1:15" x14ac:dyDescent="0.25">
      <c r="A517">
        <v>1683438267</v>
      </c>
      <c r="B517" t="s">
        <v>572</v>
      </c>
      <c r="G517">
        <v>35</v>
      </c>
      <c r="H517" t="s">
        <v>36</v>
      </c>
      <c r="I517">
        <v>570</v>
      </c>
      <c r="J517">
        <v>574.20000000000005</v>
      </c>
      <c r="L517" t="s">
        <v>12</v>
      </c>
      <c r="M517" t="b">
        <v>0</v>
      </c>
      <c r="O517" s="1">
        <v>46194.337650462963</v>
      </c>
    </row>
    <row r="518" spans="1:15" x14ac:dyDescent="0.25">
      <c r="A518">
        <v>1238979808</v>
      </c>
      <c r="B518" t="s">
        <v>572</v>
      </c>
      <c r="G518">
        <v>44</v>
      </c>
      <c r="H518" t="s">
        <v>16</v>
      </c>
      <c r="I518">
        <v>85</v>
      </c>
      <c r="J518">
        <v>85.7</v>
      </c>
      <c r="L518" t="s">
        <v>12</v>
      </c>
      <c r="M518" t="b">
        <v>0</v>
      </c>
      <c r="O518" s="1">
        <v>46194.337650462963</v>
      </c>
    </row>
    <row r="519" spans="1:15" x14ac:dyDescent="0.25">
      <c r="A519">
        <v>1782005208</v>
      </c>
      <c r="B519" t="s">
        <v>573</v>
      </c>
      <c r="C519" t="s">
        <v>525</v>
      </c>
      <c r="D519" t="s">
        <v>526</v>
      </c>
      <c r="E519" t="s">
        <v>336</v>
      </c>
      <c r="F519">
        <v>15</v>
      </c>
      <c r="K519" s="1">
        <v>46194.351944444446</v>
      </c>
      <c r="M519" t="b">
        <v>1</v>
      </c>
      <c r="N519" s="1">
        <v>46198.697627314818</v>
      </c>
      <c r="O519" s="1">
        <v>46194.351944444446</v>
      </c>
    </row>
    <row r="520" spans="1:15" x14ac:dyDescent="0.25">
      <c r="A520">
        <v>-1958351111</v>
      </c>
      <c r="B520" t="s">
        <v>573</v>
      </c>
      <c r="G520">
        <v>41</v>
      </c>
      <c r="H520" t="s">
        <v>29</v>
      </c>
      <c r="I520">
        <v>400</v>
      </c>
      <c r="J520">
        <v>400.9</v>
      </c>
      <c r="L520" t="s">
        <v>12</v>
      </c>
      <c r="M520" t="b">
        <v>0</v>
      </c>
      <c r="O520" s="1">
        <v>46194.351944444446</v>
      </c>
    </row>
    <row r="521" spans="1:15" x14ac:dyDescent="0.25">
      <c r="A521">
        <v>-247547962</v>
      </c>
      <c r="B521" t="s">
        <v>573</v>
      </c>
      <c r="G521">
        <v>4</v>
      </c>
      <c r="H521" t="s">
        <v>27</v>
      </c>
      <c r="I521">
        <v>80</v>
      </c>
      <c r="J521">
        <v>80.7</v>
      </c>
      <c r="L521" t="s">
        <v>12</v>
      </c>
      <c r="M521" t="b">
        <v>0</v>
      </c>
      <c r="O521" s="1">
        <v>46194.351944444446</v>
      </c>
    </row>
    <row r="522" spans="1:15" x14ac:dyDescent="0.25">
      <c r="A522">
        <v>1782008679</v>
      </c>
      <c r="B522" t="s">
        <v>574</v>
      </c>
      <c r="C522" t="s">
        <v>430</v>
      </c>
      <c r="D522" t="s">
        <v>431</v>
      </c>
      <c r="E522" t="s">
        <v>313</v>
      </c>
      <c r="F522">
        <v>250</v>
      </c>
      <c r="K522" s="1">
        <v>46194.392118055555</v>
      </c>
      <c r="M522" t="b">
        <v>1</v>
      </c>
      <c r="N522" s="1">
        <v>46198.697627314818</v>
      </c>
      <c r="O522" s="1">
        <v>46194.392118055555</v>
      </c>
    </row>
    <row r="523" spans="1:15" x14ac:dyDescent="0.25">
      <c r="A523">
        <v>1882639132</v>
      </c>
      <c r="B523" t="s">
        <v>574</v>
      </c>
      <c r="G523">
        <v>41</v>
      </c>
      <c r="H523" t="s">
        <v>29</v>
      </c>
      <c r="I523">
        <v>3000</v>
      </c>
      <c r="J523">
        <v>3001</v>
      </c>
      <c r="L523" t="s">
        <v>12</v>
      </c>
      <c r="M523" t="b">
        <v>0</v>
      </c>
      <c r="O523" s="1">
        <v>46194.392118055555</v>
      </c>
    </row>
    <row r="524" spans="1:15" x14ac:dyDescent="0.25">
      <c r="A524">
        <v>790420461</v>
      </c>
      <c r="B524" t="s">
        <v>574</v>
      </c>
      <c r="G524">
        <v>35</v>
      </c>
      <c r="H524" t="s">
        <v>36</v>
      </c>
      <c r="I524">
        <v>500</v>
      </c>
      <c r="J524">
        <v>504.6</v>
      </c>
      <c r="L524" t="s">
        <v>12</v>
      </c>
      <c r="M524" t="b">
        <v>0</v>
      </c>
      <c r="O524" s="1">
        <v>46194.392118055555</v>
      </c>
    </row>
    <row r="525" spans="1:15" x14ac:dyDescent="0.25">
      <c r="A525">
        <v>1340708522</v>
      </c>
      <c r="B525" t="s">
        <v>574</v>
      </c>
      <c r="G525">
        <v>44</v>
      </c>
      <c r="H525" t="s">
        <v>16</v>
      </c>
      <c r="I525">
        <v>90</v>
      </c>
      <c r="J525">
        <v>88.6</v>
      </c>
      <c r="L525" t="s">
        <v>15</v>
      </c>
      <c r="M525" t="b">
        <v>0</v>
      </c>
      <c r="O525" s="1">
        <v>46194.392118055555</v>
      </c>
    </row>
    <row r="526" spans="1:15" x14ac:dyDescent="0.25">
      <c r="A526">
        <v>1782008990</v>
      </c>
      <c r="B526" t="s">
        <v>575</v>
      </c>
      <c r="C526" t="s">
        <v>518</v>
      </c>
      <c r="D526" t="s">
        <v>563</v>
      </c>
      <c r="E526" t="s">
        <v>313</v>
      </c>
      <c r="F526">
        <v>50</v>
      </c>
      <c r="K526" s="1">
        <v>46194.39571759259</v>
      </c>
      <c r="M526" t="b">
        <v>1</v>
      </c>
      <c r="N526" s="1">
        <v>46198.697627314818</v>
      </c>
      <c r="O526" s="1">
        <v>46194.39571759259</v>
      </c>
    </row>
    <row r="527" spans="1:15" x14ac:dyDescent="0.25">
      <c r="A527">
        <v>-334599225</v>
      </c>
      <c r="B527" t="s">
        <v>575</v>
      </c>
      <c r="G527">
        <v>41</v>
      </c>
      <c r="H527" t="s">
        <v>29</v>
      </c>
      <c r="I527">
        <v>1100</v>
      </c>
      <c r="J527">
        <v>1100.0999999999999</v>
      </c>
      <c r="L527" t="s">
        <v>12</v>
      </c>
      <c r="M527" t="b">
        <v>0</v>
      </c>
      <c r="O527" s="1">
        <v>46194.39571759259</v>
      </c>
    </row>
    <row r="528" spans="1:15" x14ac:dyDescent="0.25">
      <c r="A528">
        <v>-1038238724</v>
      </c>
      <c r="B528" t="s">
        <v>575</v>
      </c>
      <c r="G528">
        <v>58</v>
      </c>
      <c r="H528" t="s">
        <v>32</v>
      </c>
      <c r="I528">
        <v>200</v>
      </c>
      <c r="J528">
        <v>201</v>
      </c>
      <c r="L528" t="s">
        <v>12</v>
      </c>
      <c r="M528" t="b">
        <v>0</v>
      </c>
      <c r="O528" s="1">
        <v>46194.39571759259</v>
      </c>
    </row>
    <row r="529" spans="1:15" x14ac:dyDescent="0.25">
      <c r="A529">
        <v>-383880371</v>
      </c>
      <c r="B529" t="s">
        <v>575</v>
      </c>
      <c r="G529">
        <v>35</v>
      </c>
      <c r="H529" t="s">
        <v>36</v>
      </c>
      <c r="I529">
        <v>10</v>
      </c>
      <c r="J529">
        <v>10.6</v>
      </c>
      <c r="L529" t="s">
        <v>15</v>
      </c>
      <c r="M529" t="b">
        <v>0</v>
      </c>
      <c r="O529" s="1">
        <v>46194.39571759259</v>
      </c>
    </row>
    <row r="530" spans="1:15" x14ac:dyDescent="0.25">
      <c r="A530">
        <v>1748071050</v>
      </c>
      <c r="B530" t="s">
        <v>575</v>
      </c>
      <c r="G530">
        <v>16</v>
      </c>
      <c r="H530" t="s">
        <v>13</v>
      </c>
      <c r="I530">
        <v>28</v>
      </c>
      <c r="J530">
        <v>26.3</v>
      </c>
      <c r="L530" t="s">
        <v>15</v>
      </c>
      <c r="M530" t="b">
        <v>0</v>
      </c>
      <c r="O530" s="1">
        <v>46194.39571759259</v>
      </c>
    </row>
    <row r="531" spans="1:15" x14ac:dyDescent="0.25">
      <c r="A531">
        <v>1782010531</v>
      </c>
      <c r="B531" t="s">
        <v>576</v>
      </c>
      <c r="C531" t="s">
        <v>385</v>
      </c>
      <c r="D531" t="s">
        <v>414</v>
      </c>
      <c r="E531" t="s">
        <v>340</v>
      </c>
      <c r="F531">
        <v>250</v>
      </c>
      <c r="K531" s="1">
        <v>46194.413541666669</v>
      </c>
      <c r="M531" t="b">
        <v>1</v>
      </c>
      <c r="N531" s="1">
        <v>46198.697627314818</v>
      </c>
      <c r="O531" s="1">
        <v>46194.413541666669</v>
      </c>
    </row>
    <row r="532" spans="1:15" x14ac:dyDescent="0.25">
      <c r="A532">
        <v>431487144</v>
      </c>
      <c r="B532" t="s">
        <v>576</v>
      </c>
      <c r="G532">
        <v>27</v>
      </c>
      <c r="H532" t="s">
        <v>143</v>
      </c>
      <c r="I532">
        <v>1280</v>
      </c>
      <c r="J532">
        <v>1283.9000000000001</v>
      </c>
      <c r="L532" t="s">
        <v>12</v>
      </c>
      <c r="M532" t="b">
        <v>0</v>
      </c>
      <c r="O532" s="1">
        <v>46194.413541666669</v>
      </c>
    </row>
    <row r="533" spans="1:15" x14ac:dyDescent="0.25">
      <c r="A533">
        <v>-1329748599</v>
      </c>
      <c r="B533" t="s">
        <v>576</v>
      </c>
      <c r="G533">
        <v>57</v>
      </c>
      <c r="H533" t="s">
        <v>17</v>
      </c>
      <c r="I533">
        <v>800</v>
      </c>
      <c r="J533">
        <v>798</v>
      </c>
      <c r="L533" t="s">
        <v>12</v>
      </c>
      <c r="M533" t="b">
        <v>0</v>
      </c>
      <c r="O533" s="1">
        <v>46194.413541666669</v>
      </c>
    </row>
    <row r="534" spans="1:15" x14ac:dyDescent="0.25">
      <c r="A534">
        <v>-380686570</v>
      </c>
      <c r="B534" t="s">
        <v>576</v>
      </c>
      <c r="G534">
        <v>41</v>
      </c>
      <c r="H534" t="s">
        <v>29</v>
      </c>
      <c r="I534">
        <v>2000</v>
      </c>
      <c r="J534">
        <v>1983.9</v>
      </c>
      <c r="L534" t="s">
        <v>12</v>
      </c>
      <c r="M534" t="b">
        <v>0</v>
      </c>
      <c r="O534" s="1">
        <v>46194.413541666669</v>
      </c>
    </row>
    <row r="535" spans="1:15" x14ac:dyDescent="0.25">
      <c r="A535">
        <v>1782011115</v>
      </c>
      <c r="B535" t="s">
        <v>577</v>
      </c>
      <c r="C535" t="s">
        <v>345</v>
      </c>
      <c r="D535" t="s">
        <v>371</v>
      </c>
      <c r="E535" t="s">
        <v>340</v>
      </c>
      <c r="F535">
        <v>50</v>
      </c>
      <c r="K535" s="1">
        <v>46194.420312499999</v>
      </c>
      <c r="M535" t="b">
        <v>1</v>
      </c>
      <c r="N535" s="1">
        <v>46198.697627314818</v>
      </c>
      <c r="O535" s="1">
        <v>46194.420312499999</v>
      </c>
    </row>
    <row r="536" spans="1:15" x14ac:dyDescent="0.25">
      <c r="A536">
        <v>1170542416</v>
      </c>
      <c r="B536" t="s">
        <v>577</v>
      </c>
      <c r="G536">
        <v>41</v>
      </c>
      <c r="H536" t="s">
        <v>29</v>
      </c>
      <c r="I536">
        <v>225</v>
      </c>
      <c r="J536">
        <v>226.5</v>
      </c>
      <c r="L536" t="s">
        <v>12</v>
      </c>
      <c r="M536" t="b">
        <v>0</v>
      </c>
      <c r="O536" s="1">
        <v>46194.420312499999</v>
      </c>
    </row>
    <row r="537" spans="1:15" x14ac:dyDescent="0.25">
      <c r="A537">
        <v>-1822060271</v>
      </c>
      <c r="B537" t="s">
        <v>577</v>
      </c>
      <c r="G537">
        <v>35</v>
      </c>
      <c r="H537" t="s">
        <v>36</v>
      </c>
      <c r="I537">
        <v>30</v>
      </c>
      <c r="J537">
        <v>30</v>
      </c>
      <c r="L537" t="s">
        <v>12</v>
      </c>
      <c r="M537" t="b">
        <v>0</v>
      </c>
      <c r="O537" s="1">
        <v>46194.420312499999</v>
      </c>
    </row>
    <row r="538" spans="1:15" x14ac:dyDescent="0.25">
      <c r="A538">
        <v>-663763458</v>
      </c>
      <c r="B538" t="s">
        <v>577</v>
      </c>
      <c r="G538">
        <v>44</v>
      </c>
      <c r="H538" t="s">
        <v>16</v>
      </c>
      <c r="I538">
        <v>14</v>
      </c>
      <c r="J538">
        <v>14.5</v>
      </c>
      <c r="L538" t="s">
        <v>15</v>
      </c>
      <c r="M538" t="b">
        <v>0</v>
      </c>
      <c r="O538" s="1">
        <v>46194.420312499999</v>
      </c>
    </row>
    <row r="539" spans="1:15" x14ac:dyDescent="0.25">
      <c r="A539">
        <v>1782011326</v>
      </c>
      <c r="B539" t="s">
        <v>578</v>
      </c>
      <c r="C539" t="s">
        <v>579</v>
      </c>
      <c r="D539" t="s">
        <v>580</v>
      </c>
      <c r="E539" t="s">
        <v>364</v>
      </c>
      <c r="F539">
        <v>15</v>
      </c>
      <c r="K539" s="1">
        <v>46194.422754629632</v>
      </c>
      <c r="M539" t="b">
        <v>1</v>
      </c>
      <c r="N539" s="1">
        <v>46198.697627314818</v>
      </c>
      <c r="O539" s="1">
        <v>46194.422754629632</v>
      </c>
    </row>
    <row r="540" spans="1:15" x14ac:dyDescent="0.25">
      <c r="A540">
        <v>-1673345433</v>
      </c>
      <c r="B540" t="s">
        <v>578</v>
      </c>
      <c r="G540">
        <v>41</v>
      </c>
      <c r="H540" t="s">
        <v>29</v>
      </c>
      <c r="I540">
        <v>150</v>
      </c>
      <c r="J540">
        <v>150.94999999999999</v>
      </c>
      <c r="L540" t="s">
        <v>12</v>
      </c>
      <c r="M540" t="b">
        <v>0</v>
      </c>
      <c r="O540" s="1">
        <v>46194.422754629632</v>
      </c>
    </row>
    <row r="541" spans="1:15" x14ac:dyDescent="0.25">
      <c r="A541">
        <v>1287481884</v>
      </c>
      <c r="B541" t="s">
        <v>578</v>
      </c>
      <c r="G541">
        <v>58</v>
      </c>
      <c r="H541" t="s">
        <v>32</v>
      </c>
      <c r="I541">
        <v>110</v>
      </c>
      <c r="J541">
        <v>110.26</v>
      </c>
      <c r="L541" t="s">
        <v>12</v>
      </c>
      <c r="M541" t="b">
        <v>0</v>
      </c>
      <c r="O541" s="1">
        <v>46194.422754629632</v>
      </c>
    </row>
    <row r="542" spans="1:15" x14ac:dyDescent="0.25">
      <c r="A542">
        <v>-1516187923</v>
      </c>
      <c r="B542" t="s">
        <v>578</v>
      </c>
      <c r="G542">
        <v>35</v>
      </c>
      <c r="H542" t="s">
        <v>36</v>
      </c>
      <c r="I542">
        <v>7</v>
      </c>
      <c r="J542">
        <v>7.02</v>
      </c>
      <c r="L542" t="s">
        <v>12</v>
      </c>
      <c r="M542" t="b">
        <v>0</v>
      </c>
      <c r="O542" s="1">
        <v>46194.422754629632</v>
      </c>
    </row>
    <row r="543" spans="1:15" x14ac:dyDescent="0.25">
      <c r="A543">
        <v>1902988714</v>
      </c>
      <c r="B543" t="s">
        <v>578</v>
      </c>
      <c r="G543">
        <v>44</v>
      </c>
      <c r="H543" t="s">
        <v>16</v>
      </c>
      <c r="I543">
        <v>25</v>
      </c>
      <c r="J543">
        <v>25.04</v>
      </c>
      <c r="L543" t="s">
        <v>12</v>
      </c>
      <c r="M543" t="b">
        <v>0</v>
      </c>
      <c r="O543" s="1">
        <v>46194.422754629632</v>
      </c>
    </row>
    <row r="544" spans="1:15" x14ac:dyDescent="0.25">
      <c r="A544">
        <v>1782012818</v>
      </c>
      <c r="B544" t="s">
        <v>581</v>
      </c>
      <c r="C544" t="s">
        <v>566</v>
      </c>
      <c r="D544" t="s">
        <v>567</v>
      </c>
      <c r="E544" t="s">
        <v>336</v>
      </c>
      <c r="F544">
        <v>450</v>
      </c>
      <c r="K544" s="1">
        <v>46194.440011574072</v>
      </c>
      <c r="M544" t="b">
        <v>1</v>
      </c>
      <c r="N544" s="1">
        <v>46198.697627314818</v>
      </c>
      <c r="O544" s="1">
        <v>46194.440011574072</v>
      </c>
    </row>
    <row r="545" spans="1:15" x14ac:dyDescent="0.25">
      <c r="A545">
        <v>-226474837</v>
      </c>
      <c r="B545" t="s">
        <v>581</v>
      </c>
      <c r="G545">
        <v>41</v>
      </c>
      <c r="H545" t="s">
        <v>29</v>
      </c>
      <c r="I545">
        <v>5805</v>
      </c>
      <c r="J545">
        <v>5801.9</v>
      </c>
      <c r="L545" t="s">
        <v>12</v>
      </c>
      <c r="M545" t="b">
        <v>0</v>
      </c>
      <c r="O545" s="1">
        <v>46194.440011574072</v>
      </c>
    </row>
    <row r="546" spans="1:15" x14ac:dyDescent="0.25">
      <c r="A546">
        <v>-235031536</v>
      </c>
      <c r="B546" t="s">
        <v>581</v>
      </c>
      <c r="G546">
        <v>35</v>
      </c>
      <c r="H546" t="s">
        <v>36</v>
      </c>
      <c r="I546">
        <v>450</v>
      </c>
      <c r="J546">
        <v>447.2</v>
      </c>
      <c r="L546" t="s">
        <v>12</v>
      </c>
      <c r="M546" t="b">
        <v>0</v>
      </c>
      <c r="O546" s="1">
        <v>46194.440011574072</v>
      </c>
    </row>
    <row r="547" spans="1:15" x14ac:dyDescent="0.25">
      <c r="A547">
        <v>761202385</v>
      </c>
      <c r="B547" t="s">
        <v>581</v>
      </c>
      <c r="G547">
        <v>44</v>
      </c>
      <c r="H547" t="s">
        <v>16</v>
      </c>
      <c r="I547">
        <v>149.85</v>
      </c>
      <c r="J547">
        <v>149.69999999999999</v>
      </c>
      <c r="L547" t="s">
        <v>12</v>
      </c>
      <c r="M547" t="b">
        <v>0</v>
      </c>
      <c r="O547" s="1">
        <v>46194.440011574072</v>
      </c>
    </row>
    <row r="548" spans="1:15" x14ac:dyDescent="0.25">
      <c r="A548">
        <v>1782013528</v>
      </c>
      <c r="B548" t="s">
        <v>582</v>
      </c>
      <c r="C548" t="s">
        <v>430</v>
      </c>
      <c r="D548" t="s">
        <v>431</v>
      </c>
      <c r="E548" t="s">
        <v>313</v>
      </c>
      <c r="F548">
        <v>250</v>
      </c>
      <c r="K548" s="1">
        <v>46194.448240740741</v>
      </c>
      <c r="M548" t="b">
        <v>1</v>
      </c>
      <c r="N548" s="1">
        <v>46198.697627314818</v>
      </c>
      <c r="O548" s="1">
        <v>46194.448240740741</v>
      </c>
    </row>
    <row r="549" spans="1:15" x14ac:dyDescent="0.25">
      <c r="A549">
        <v>1216259449</v>
      </c>
      <c r="B549" t="s">
        <v>582</v>
      </c>
      <c r="G549">
        <v>41</v>
      </c>
      <c r="H549" t="s">
        <v>29</v>
      </c>
      <c r="I549">
        <v>3200</v>
      </c>
      <c r="J549">
        <v>3201.8</v>
      </c>
      <c r="L549" t="s">
        <v>12</v>
      </c>
      <c r="M549" t="b">
        <v>0</v>
      </c>
      <c r="O549" s="1">
        <v>46194.448240740741</v>
      </c>
    </row>
    <row r="550" spans="1:15" x14ac:dyDescent="0.25">
      <c r="A550">
        <v>1210960966</v>
      </c>
      <c r="B550" t="s">
        <v>582</v>
      </c>
      <c r="G550">
        <v>35</v>
      </c>
      <c r="H550" t="s">
        <v>36</v>
      </c>
      <c r="I550">
        <v>450</v>
      </c>
      <c r="J550">
        <v>449.1</v>
      </c>
      <c r="L550" t="s">
        <v>12</v>
      </c>
      <c r="M550" t="b">
        <v>0</v>
      </c>
      <c r="O550" s="1">
        <v>46194.448240740741</v>
      </c>
    </row>
    <row r="551" spans="1:15" x14ac:dyDescent="0.25">
      <c r="A551">
        <v>152292431</v>
      </c>
      <c r="B551" t="s">
        <v>582</v>
      </c>
      <c r="G551">
        <v>44</v>
      </c>
      <c r="H551" t="s">
        <v>16</v>
      </c>
      <c r="I551">
        <v>100</v>
      </c>
      <c r="J551">
        <v>100</v>
      </c>
      <c r="L551" t="s">
        <v>12</v>
      </c>
      <c r="M551" t="b">
        <v>0</v>
      </c>
      <c r="O551" s="1">
        <v>46194.448240740741</v>
      </c>
    </row>
    <row r="552" spans="1:15" x14ac:dyDescent="0.25">
      <c r="A552">
        <v>1782017783</v>
      </c>
      <c r="B552" t="s">
        <v>583</v>
      </c>
      <c r="C552" t="s">
        <v>525</v>
      </c>
      <c r="D552" t="s">
        <v>526</v>
      </c>
      <c r="E552" t="s">
        <v>313</v>
      </c>
      <c r="F552">
        <v>15</v>
      </c>
      <c r="K552" s="1">
        <v>46194.497488425928</v>
      </c>
      <c r="M552" t="b">
        <v>1</v>
      </c>
      <c r="N552" s="1">
        <v>46198.697627314818</v>
      </c>
      <c r="O552" s="1">
        <v>46194.497488425928</v>
      </c>
    </row>
    <row r="553" spans="1:15" x14ac:dyDescent="0.25">
      <c r="A553">
        <v>-1540330644</v>
      </c>
      <c r="B553" t="s">
        <v>583</v>
      </c>
      <c r="G553">
        <v>41</v>
      </c>
      <c r="H553" t="s">
        <v>29</v>
      </c>
      <c r="I553">
        <v>400</v>
      </c>
      <c r="J553">
        <v>402.7</v>
      </c>
      <c r="L553" t="s">
        <v>12</v>
      </c>
      <c r="M553" t="b">
        <v>0</v>
      </c>
      <c r="O553" s="1">
        <v>46194.497488425928</v>
      </c>
    </row>
    <row r="554" spans="1:15" x14ac:dyDescent="0.25">
      <c r="A554">
        <v>470149629</v>
      </c>
      <c r="B554" t="s">
        <v>583</v>
      </c>
      <c r="G554">
        <v>4</v>
      </c>
      <c r="H554" t="s">
        <v>27</v>
      </c>
      <c r="I554">
        <v>120</v>
      </c>
      <c r="J554">
        <v>120</v>
      </c>
      <c r="L554" t="s">
        <v>12</v>
      </c>
      <c r="M554" t="b">
        <v>0</v>
      </c>
      <c r="O554" s="1">
        <v>46194.497488425928</v>
      </c>
    </row>
    <row r="555" spans="1:15" x14ac:dyDescent="0.25">
      <c r="A555">
        <v>1782027314</v>
      </c>
      <c r="B555" t="s">
        <v>584</v>
      </c>
      <c r="C555" t="s">
        <v>579</v>
      </c>
      <c r="D555" t="s">
        <v>580</v>
      </c>
      <c r="E555" t="s">
        <v>364</v>
      </c>
      <c r="F555">
        <v>15</v>
      </c>
      <c r="K555" s="1">
        <v>46194.607800925929</v>
      </c>
      <c r="M555" t="b">
        <v>1</v>
      </c>
      <c r="N555" s="1">
        <v>46198.697627314818</v>
      </c>
      <c r="O555" s="1">
        <v>46194.607800925929</v>
      </c>
    </row>
    <row r="556" spans="1:15" x14ac:dyDescent="0.25">
      <c r="A556">
        <v>761919691</v>
      </c>
      <c r="B556" t="s">
        <v>584</v>
      </c>
      <c r="G556">
        <v>41</v>
      </c>
      <c r="H556" t="s">
        <v>29</v>
      </c>
      <c r="I556">
        <v>150</v>
      </c>
      <c r="J556">
        <v>150.03</v>
      </c>
      <c r="L556" t="s">
        <v>12</v>
      </c>
      <c r="M556" t="b">
        <v>0</v>
      </c>
      <c r="O556" s="1">
        <v>46194.607800925929</v>
      </c>
    </row>
    <row r="557" spans="1:15" x14ac:dyDescent="0.25">
      <c r="A557">
        <v>-1394139728</v>
      </c>
      <c r="B557" t="s">
        <v>584</v>
      </c>
      <c r="G557">
        <v>58</v>
      </c>
      <c r="H557" t="s">
        <v>32</v>
      </c>
      <c r="I557">
        <v>100</v>
      </c>
      <c r="J557">
        <v>100.11</v>
      </c>
      <c r="L557" t="s">
        <v>12</v>
      </c>
      <c r="M557" t="b">
        <v>0</v>
      </c>
      <c r="O557" s="1">
        <v>46194.607800925929</v>
      </c>
    </row>
    <row r="558" spans="1:15" x14ac:dyDescent="0.25">
      <c r="A558">
        <v>88889329</v>
      </c>
      <c r="B558" t="s">
        <v>584</v>
      </c>
      <c r="G558">
        <v>35</v>
      </c>
      <c r="H558" t="s">
        <v>36</v>
      </c>
      <c r="I558">
        <v>7</v>
      </c>
      <c r="J558">
        <v>7.03</v>
      </c>
      <c r="L558" t="s">
        <v>12</v>
      </c>
      <c r="M558" t="b">
        <v>0</v>
      </c>
      <c r="O558" s="1">
        <v>46194.607800925929</v>
      </c>
    </row>
    <row r="559" spans="1:15" x14ac:dyDescent="0.25">
      <c r="A559">
        <v>-1934754978</v>
      </c>
      <c r="B559" t="s">
        <v>584</v>
      </c>
      <c r="G559">
        <v>44</v>
      </c>
      <c r="H559" t="s">
        <v>16</v>
      </c>
      <c r="I559">
        <v>25</v>
      </c>
      <c r="J559">
        <v>25.03</v>
      </c>
      <c r="L559" t="s">
        <v>12</v>
      </c>
      <c r="M559" t="b">
        <v>0</v>
      </c>
      <c r="O559" s="1">
        <v>46194.607800925929</v>
      </c>
    </row>
    <row r="560" spans="1:15" x14ac:dyDescent="0.25">
      <c r="A560">
        <v>1782038055</v>
      </c>
      <c r="B560" t="s">
        <v>585</v>
      </c>
      <c r="C560" t="s">
        <v>342</v>
      </c>
      <c r="D560" t="s">
        <v>221</v>
      </c>
      <c r="E560" t="s">
        <v>336</v>
      </c>
      <c r="F560">
        <v>50</v>
      </c>
      <c r="K560" s="1">
        <v>46194.732118055559</v>
      </c>
      <c r="M560" t="b">
        <v>1</v>
      </c>
      <c r="N560" s="1">
        <v>46198.697627314818</v>
      </c>
      <c r="O560" s="1">
        <v>46194.732118055559</v>
      </c>
    </row>
    <row r="561" spans="1:15" x14ac:dyDescent="0.25">
      <c r="A561">
        <v>-949782820</v>
      </c>
      <c r="B561" t="s">
        <v>585</v>
      </c>
      <c r="G561">
        <v>41</v>
      </c>
      <c r="H561" t="s">
        <v>29</v>
      </c>
      <c r="I561">
        <v>495.5</v>
      </c>
      <c r="J561">
        <v>495.1</v>
      </c>
      <c r="L561" t="s">
        <v>12</v>
      </c>
      <c r="M561" t="b">
        <v>0</v>
      </c>
      <c r="O561" s="1">
        <v>46194.732118055559</v>
      </c>
    </row>
    <row r="562" spans="1:15" x14ac:dyDescent="0.25">
      <c r="A562">
        <v>-733639507</v>
      </c>
      <c r="B562" t="s">
        <v>585</v>
      </c>
      <c r="G562">
        <v>35</v>
      </c>
      <c r="H562" t="s">
        <v>36</v>
      </c>
      <c r="I562">
        <v>145.5</v>
      </c>
      <c r="J562">
        <v>146</v>
      </c>
      <c r="L562" t="s">
        <v>12</v>
      </c>
      <c r="M562" t="b">
        <v>0</v>
      </c>
      <c r="O562" s="1">
        <v>46194.732118055559</v>
      </c>
    </row>
    <row r="563" spans="1:15" x14ac:dyDescent="0.25">
      <c r="A563">
        <v>1782046372</v>
      </c>
      <c r="B563" t="s">
        <v>586</v>
      </c>
      <c r="C563" t="s">
        <v>358</v>
      </c>
      <c r="D563" t="s">
        <v>359</v>
      </c>
      <c r="E563" t="s">
        <v>336</v>
      </c>
      <c r="F563">
        <v>50</v>
      </c>
      <c r="K563" s="1">
        <v>46194.828379629631</v>
      </c>
      <c r="M563" t="b">
        <v>1</v>
      </c>
      <c r="N563" s="1">
        <v>46198.697627314818</v>
      </c>
      <c r="O563" s="1">
        <v>46194.828379629631</v>
      </c>
    </row>
    <row r="564" spans="1:15" x14ac:dyDescent="0.25">
      <c r="A564">
        <v>1389984469</v>
      </c>
      <c r="B564" t="s">
        <v>586</v>
      </c>
      <c r="G564">
        <v>41</v>
      </c>
      <c r="H564" t="s">
        <v>29</v>
      </c>
      <c r="I564">
        <v>1087.5</v>
      </c>
      <c r="J564">
        <v>1085.5</v>
      </c>
      <c r="L564" t="s">
        <v>12</v>
      </c>
      <c r="M564" t="b">
        <v>0</v>
      </c>
      <c r="O564" s="1">
        <v>46194.828379629631</v>
      </c>
    </row>
    <row r="565" spans="1:15" x14ac:dyDescent="0.25">
      <c r="A565">
        <v>1087763826</v>
      </c>
      <c r="B565" t="s">
        <v>586</v>
      </c>
      <c r="G565">
        <v>44</v>
      </c>
      <c r="H565" t="s">
        <v>16</v>
      </c>
      <c r="I565">
        <v>285</v>
      </c>
      <c r="J565">
        <v>286.10000000000002</v>
      </c>
      <c r="L565" t="s">
        <v>12</v>
      </c>
      <c r="M565" t="b">
        <v>0</v>
      </c>
      <c r="O565" s="1">
        <v>46194.828379629631</v>
      </c>
    </row>
    <row r="566" spans="1:15" x14ac:dyDescent="0.25">
      <c r="A566">
        <v>1782047516</v>
      </c>
      <c r="B566" t="s">
        <v>587</v>
      </c>
      <c r="C566" t="s">
        <v>588</v>
      </c>
      <c r="D566" t="s">
        <v>589</v>
      </c>
      <c r="E566" t="s">
        <v>313</v>
      </c>
      <c r="F566">
        <v>100</v>
      </c>
      <c r="K566" s="1">
        <v>46194.841620370367</v>
      </c>
      <c r="M566" t="b">
        <v>1</v>
      </c>
      <c r="N566" s="1">
        <v>46198.697627314818</v>
      </c>
      <c r="O566" s="1">
        <v>46194.841620370367</v>
      </c>
    </row>
    <row r="567" spans="1:15" x14ac:dyDescent="0.25">
      <c r="A567">
        <v>484316141</v>
      </c>
      <c r="B567" t="s">
        <v>587</v>
      </c>
      <c r="H567" t="s">
        <v>29</v>
      </c>
      <c r="I567">
        <v>580</v>
      </c>
      <c r="J567">
        <v>582.1</v>
      </c>
      <c r="L567" t="s">
        <v>12</v>
      </c>
      <c r="M567" t="b">
        <v>0</v>
      </c>
      <c r="O567" s="1">
        <v>46194.841620370367</v>
      </c>
    </row>
    <row r="568" spans="1:15" x14ac:dyDescent="0.25">
      <c r="A568">
        <v>-1288671574</v>
      </c>
      <c r="B568" t="s">
        <v>587</v>
      </c>
      <c r="G568">
        <v>49</v>
      </c>
      <c r="H568" t="s">
        <v>181</v>
      </c>
      <c r="I568">
        <v>112.5</v>
      </c>
      <c r="J568">
        <v>112.3</v>
      </c>
      <c r="L568" t="s">
        <v>12</v>
      </c>
      <c r="M568" t="b">
        <v>0</v>
      </c>
      <c r="O568" s="1">
        <v>46194.841620370367</v>
      </c>
    </row>
    <row r="569" spans="1:15" x14ac:dyDescent="0.25">
      <c r="A569">
        <v>-613404701</v>
      </c>
      <c r="B569" t="s">
        <v>587</v>
      </c>
      <c r="G569">
        <v>68</v>
      </c>
      <c r="H569" t="s">
        <v>14</v>
      </c>
      <c r="I569">
        <v>133.9</v>
      </c>
      <c r="J569">
        <v>133.80000000000001</v>
      </c>
      <c r="L569" t="s">
        <v>12</v>
      </c>
      <c r="M569" t="b">
        <v>0</v>
      </c>
      <c r="O569" s="1">
        <v>46194.841620370367</v>
      </c>
    </row>
    <row r="570" spans="1:15" x14ac:dyDescent="0.25">
      <c r="A570">
        <v>1782051986</v>
      </c>
      <c r="B570" t="s">
        <v>590</v>
      </c>
      <c r="C570" t="s">
        <v>345</v>
      </c>
      <c r="D570" t="s">
        <v>371</v>
      </c>
      <c r="E570" t="s">
        <v>340</v>
      </c>
      <c r="F570">
        <v>50</v>
      </c>
      <c r="K570" s="1">
        <v>46194.89335648148</v>
      </c>
      <c r="M570" t="b">
        <v>1</v>
      </c>
      <c r="N570" s="1">
        <v>46198.697627314818</v>
      </c>
      <c r="O570" s="1">
        <v>46194.89335648148</v>
      </c>
    </row>
    <row r="571" spans="1:15" x14ac:dyDescent="0.25">
      <c r="A571">
        <v>-1139725909</v>
      </c>
      <c r="B571" t="s">
        <v>590</v>
      </c>
      <c r="H571" t="s">
        <v>29</v>
      </c>
      <c r="I571">
        <v>225</v>
      </c>
      <c r="J571">
        <v>225.4</v>
      </c>
      <c r="L571" t="s">
        <v>12</v>
      </c>
      <c r="M571" t="b">
        <v>0</v>
      </c>
      <c r="O571" s="1">
        <v>46194.89335648148</v>
      </c>
    </row>
    <row r="572" spans="1:15" x14ac:dyDescent="0.25">
      <c r="A572">
        <v>-835455728</v>
      </c>
      <c r="B572" t="s">
        <v>590</v>
      </c>
      <c r="G572">
        <v>35</v>
      </c>
      <c r="H572" t="s">
        <v>36</v>
      </c>
      <c r="I572">
        <v>30</v>
      </c>
      <c r="J572">
        <v>30.6</v>
      </c>
      <c r="L572" t="s">
        <v>15</v>
      </c>
      <c r="M572" t="b">
        <v>0</v>
      </c>
      <c r="O572" s="1">
        <v>46194.89335648148</v>
      </c>
    </row>
    <row r="573" spans="1:15" x14ac:dyDescent="0.25">
      <c r="A573">
        <v>-514952239</v>
      </c>
      <c r="B573" t="s">
        <v>590</v>
      </c>
      <c r="G573">
        <v>44</v>
      </c>
      <c r="H573" t="s">
        <v>16</v>
      </c>
      <c r="I573">
        <v>14</v>
      </c>
      <c r="J573">
        <v>14.5</v>
      </c>
      <c r="L573" t="s">
        <v>15</v>
      </c>
      <c r="M573" t="b">
        <v>0</v>
      </c>
      <c r="O573" s="1">
        <v>46194.89335648148</v>
      </c>
    </row>
    <row r="574" spans="1:15" x14ac:dyDescent="0.25">
      <c r="A574">
        <v>1782052288</v>
      </c>
      <c r="B574" t="s">
        <v>591</v>
      </c>
      <c r="C574" t="s">
        <v>342</v>
      </c>
      <c r="D574" t="s">
        <v>221</v>
      </c>
      <c r="E574" t="s">
        <v>336</v>
      </c>
      <c r="F574">
        <v>50</v>
      </c>
      <c r="K574" s="1">
        <v>46194.896851851852</v>
      </c>
      <c r="M574" t="b">
        <v>1</v>
      </c>
      <c r="N574" s="1">
        <v>46198.697627314818</v>
      </c>
      <c r="O574" s="1">
        <v>46194.896851851852</v>
      </c>
    </row>
    <row r="575" spans="1:15" x14ac:dyDescent="0.25">
      <c r="A575">
        <v>-1566526783</v>
      </c>
      <c r="B575" t="s">
        <v>591</v>
      </c>
      <c r="G575">
        <v>41</v>
      </c>
      <c r="H575" t="s">
        <v>29</v>
      </c>
      <c r="I575">
        <v>495.5</v>
      </c>
      <c r="J575">
        <v>493.9</v>
      </c>
      <c r="L575" t="s">
        <v>12</v>
      </c>
      <c r="M575" t="b">
        <v>0</v>
      </c>
      <c r="O575" s="1">
        <v>46194.896851851852</v>
      </c>
    </row>
    <row r="576" spans="1:15" x14ac:dyDescent="0.25">
      <c r="A576">
        <v>-1575431698</v>
      </c>
      <c r="B576" t="s">
        <v>591</v>
      </c>
      <c r="G576">
        <v>35</v>
      </c>
      <c r="H576" t="s">
        <v>36</v>
      </c>
      <c r="I576">
        <v>145.5</v>
      </c>
      <c r="J576">
        <v>145.4</v>
      </c>
      <c r="L576" t="s">
        <v>12</v>
      </c>
      <c r="M576" t="b">
        <v>0</v>
      </c>
      <c r="O576" s="1">
        <v>46194.896851851852</v>
      </c>
    </row>
    <row r="577" spans="1:15" x14ac:dyDescent="0.25">
      <c r="A577">
        <v>1782056642</v>
      </c>
      <c r="B577" t="s">
        <v>592</v>
      </c>
      <c r="C577" t="s">
        <v>593</v>
      </c>
      <c r="D577" t="s">
        <v>594</v>
      </c>
      <c r="E577" t="s">
        <v>313</v>
      </c>
      <c r="F577">
        <v>250</v>
      </c>
      <c r="K577" s="1">
        <v>46194.947245370371</v>
      </c>
      <c r="M577" t="b">
        <v>1</v>
      </c>
      <c r="N577" s="1">
        <v>46198.697627314818</v>
      </c>
      <c r="O577" s="1">
        <v>46194.947245370371</v>
      </c>
    </row>
    <row r="578" spans="1:15" x14ac:dyDescent="0.25">
      <c r="A578">
        <v>1751874587</v>
      </c>
      <c r="B578" t="s">
        <v>592</v>
      </c>
      <c r="G578">
        <v>41</v>
      </c>
      <c r="H578" t="s">
        <v>29</v>
      </c>
      <c r="I578">
        <v>5000</v>
      </c>
      <c r="J578">
        <v>5012.3999999999996</v>
      </c>
      <c r="L578" t="s">
        <v>12</v>
      </c>
      <c r="M578" t="b">
        <v>0</v>
      </c>
      <c r="O578" s="1">
        <v>46194.947245370371</v>
      </c>
    </row>
    <row r="579" spans="1:15" x14ac:dyDescent="0.25">
      <c r="A579">
        <v>-1406856512</v>
      </c>
      <c r="B579" t="s">
        <v>592</v>
      </c>
      <c r="G579">
        <v>58</v>
      </c>
      <c r="H579" t="s">
        <v>32</v>
      </c>
      <c r="I579">
        <v>2175</v>
      </c>
      <c r="J579">
        <v>2175.8000000000002</v>
      </c>
      <c r="L579" t="s">
        <v>12</v>
      </c>
      <c r="M579" t="b">
        <v>0</v>
      </c>
      <c r="O579" s="1">
        <v>46194.947245370371</v>
      </c>
    </row>
    <row r="580" spans="1:15" x14ac:dyDescent="0.25">
      <c r="A580">
        <v>-2124624959</v>
      </c>
      <c r="B580" t="s">
        <v>592</v>
      </c>
      <c r="G580">
        <v>35</v>
      </c>
      <c r="H580" t="s">
        <v>36</v>
      </c>
      <c r="I580">
        <v>437.5</v>
      </c>
      <c r="J580">
        <v>439.4</v>
      </c>
      <c r="L580" t="s">
        <v>12</v>
      </c>
      <c r="M580" t="b">
        <v>0</v>
      </c>
      <c r="O580" s="1">
        <v>46194.947245370371</v>
      </c>
    </row>
    <row r="581" spans="1:15" x14ac:dyDescent="0.25">
      <c r="A581">
        <v>1782056759</v>
      </c>
      <c r="B581" t="s">
        <v>595</v>
      </c>
      <c r="C581" t="s">
        <v>419</v>
      </c>
      <c r="D581" t="s">
        <v>596</v>
      </c>
      <c r="E581" t="s">
        <v>364</v>
      </c>
      <c r="F581">
        <v>120</v>
      </c>
      <c r="K581" s="1">
        <v>46194.948599537034</v>
      </c>
      <c r="M581" t="b">
        <v>1</v>
      </c>
      <c r="N581" s="1">
        <v>46198.697627314818</v>
      </c>
      <c r="O581" s="1">
        <v>46194.948599537034</v>
      </c>
    </row>
    <row r="582" spans="1:15" x14ac:dyDescent="0.25">
      <c r="A582">
        <v>-48976212</v>
      </c>
      <c r="B582" t="s">
        <v>595</v>
      </c>
      <c r="G582">
        <v>41</v>
      </c>
      <c r="H582" t="s">
        <v>29</v>
      </c>
      <c r="I582">
        <v>1320</v>
      </c>
      <c r="J582">
        <v>1321.3</v>
      </c>
      <c r="L582" t="s">
        <v>12</v>
      </c>
      <c r="M582" t="b">
        <v>0</v>
      </c>
      <c r="O582" s="1">
        <v>46194.948599537034</v>
      </c>
    </row>
    <row r="583" spans="1:15" x14ac:dyDescent="0.25">
      <c r="A583">
        <v>1620130877</v>
      </c>
      <c r="B583" t="s">
        <v>595</v>
      </c>
      <c r="G583">
        <v>44</v>
      </c>
      <c r="H583" t="s">
        <v>16</v>
      </c>
      <c r="I583">
        <v>13.32</v>
      </c>
      <c r="J583">
        <v>12.9</v>
      </c>
      <c r="L583" t="s">
        <v>15</v>
      </c>
      <c r="M583" t="b">
        <v>0</v>
      </c>
      <c r="O583" s="1">
        <v>46194.948599537034</v>
      </c>
    </row>
    <row r="584" spans="1:15" x14ac:dyDescent="0.25">
      <c r="A584">
        <v>333866170</v>
      </c>
      <c r="B584" t="s">
        <v>595</v>
      </c>
      <c r="G584">
        <v>35</v>
      </c>
      <c r="H584" t="s">
        <v>36</v>
      </c>
      <c r="I584">
        <v>120</v>
      </c>
      <c r="J584">
        <v>119.3</v>
      </c>
      <c r="L584" t="s">
        <v>12</v>
      </c>
      <c r="M584" t="b">
        <v>0</v>
      </c>
      <c r="O584" s="1">
        <v>46194.948599537034</v>
      </c>
    </row>
    <row r="585" spans="1:15" x14ac:dyDescent="0.25">
      <c r="A585">
        <v>1782059409</v>
      </c>
      <c r="B585" t="s">
        <v>597</v>
      </c>
      <c r="C585" t="s">
        <v>588</v>
      </c>
      <c r="D585" t="s">
        <v>589</v>
      </c>
      <c r="E585" t="s">
        <v>313</v>
      </c>
      <c r="F585">
        <v>100</v>
      </c>
      <c r="K585" s="1">
        <v>46194.979270833333</v>
      </c>
      <c r="M585" t="b">
        <v>1</v>
      </c>
      <c r="N585" s="1">
        <v>46198.697627314818</v>
      </c>
      <c r="O585" s="1">
        <v>46194.979270833333</v>
      </c>
    </row>
    <row r="586" spans="1:15" x14ac:dyDescent="0.25">
      <c r="A586">
        <v>1524849790</v>
      </c>
      <c r="B586" t="s">
        <v>597</v>
      </c>
      <c r="H586" t="s">
        <v>29</v>
      </c>
      <c r="I586">
        <v>580</v>
      </c>
      <c r="J586">
        <v>583.1</v>
      </c>
      <c r="L586" t="s">
        <v>12</v>
      </c>
      <c r="M586" t="b">
        <v>0</v>
      </c>
      <c r="O586" s="1">
        <v>46194.979270833333</v>
      </c>
    </row>
    <row r="587" spans="1:15" x14ac:dyDescent="0.25">
      <c r="A587">
        <v>1754297895</v>
      </c>
      <c r="B587" t="s">
        <v>597</v>
      </c>
      <c r="G587">
        <v>49</v>
      </c>
      <c r="H587" t="s">
        <v>181</v>
      </c>
      <c r="I587">
        <v>112.5</v>
      </c>
      <c r="J587">
        <v>114.8</v>
      </c>
      <c r="L587" t="s">
        <v>15</v>
      </c>
      <c r="M587" t="b">
        <v>0</v>
      </c>
      <c r="O587" s="1">
        <v>46194.979270833333</v>
      </c>
    </row>
    <row r="588" spans="1:15" x14ac:dyDescent="0.25">
      <c r="A588">
        <v>843828956</v>
      </c>
      <c r="B588" t="s">
        <v>597</v>
      </c>
      <c r="G588">
        <v>68</v>
      </c>
      <c r="H588" t="s">
        <v>14</v>
      </c>
      <c r="I588">
        <v>133.9</v>
      </c>
      <c r="J588">
        <v>133.69999999999999</v>
      </c>
      <c r="L588" t="s">
        <v>12</v>
      </c>
      <c r="M588" t="b">
        <v>0</v>
      </c>
      <c r="O588" s="1">
        <v>46194.979270833333</v>
      </c>
    </row>
    <row r="589" spans="1:15" x14ac:dyDescent="0.25">
      <c r="A589">
        <v>1782059627</v>
      </c>
      <c r="B589" t="s">
        <v>598</v>
      </c>
      <c r="C589" t="s">
        <v>481</v>
      </c>
      <c r="D589" t="s">
        <v>482</v>
      </c>
      <c r="E589" t="s">
        <v>336</v>
      </c>
      <c r="F589">
        <v>50</v>
      </c>
      <c r="K589" s="1">
        <v>46194.981782407405</v>
      </c>
      <c r="M589" t="b">
        <v>1</v>
      </c>
      <c r="N589" s="1">
        <v>46198.697627314818</v>
      </c>
      <c r="O589" s="1">
        <v>46194.981782407405</v>
      </c>
    </row>
    <row r="590" spans="1:15" x14ac:dyDescent="0.25">
      <c r="A590">
        <v>-802726192</v>
      </c>
      <c r="B590" t="s">
        <v>598</v>
      </c>
      <c r="G590">
        <v>41</v>
      </c>
      <c r="H590" t="s">
        <v>29</v>
      </c>
      <c r="I590">
        <v>625</v>
      </c>
      <c r="J590">
        <v>625.5</v>
      </c>
      <c r="L590" t="s">
        <v>12</v>
      </c>
      <c r="M590" t="b">
        <v>0</v>
      </c>
      <c r="O590" s="1">
        <v>46194.981782407405</v>
      </c>
    </row>
    <row r="591" spans="1:15" x14ac:dyDescent="0.25">
      <c r="A591">
        <v>-1709536623</v>
      </c>
      <c r="B591" t="s">
        <v>598</v>
      </c>
      <c r="G591">
        <v>4</v>
      </c>
      <c r="H591" t="s">
        <v>27</v>
      </c>
      <c r="I591">
        <v>75</v>
      </c>
      <c r="J591">
        <v>74.5</v>
      </c>
      <c r="L591" t="s">
        <v>12</v>
      </c>
      <c r="M591" t="b">
        <v>0</v>
      </c>
      <c r="O591" s="1">
        <v>46194.981782407405</v>
      </c>
    </row>
    <row r="592" spans="1:15" x14ac:dyDescent="0.25">
      <c r="A592">
        <v>2120786302</v>
      </c>
      <c r="B592" t="s">
        <v>598</v>
      </c>
      <c r="G592">
        <v>44</v>
      </c>
      <c r="H592" t="s">
        <v>16</v>
      </c>
      <c r="I592">
        <v>26</v>
      </c>
      <c r="J592">
        <v>26.5</v>
      </c>
      <c r="L592" t="s">
        <v>15</v>
      </c>
      <c r="M592" t="b">
        <v>0</v>
      </c>
      <c r="O592" s="1">
        <v>46194.981782407405</v>
      </c>
    </row>
    <row r="593" spans="1:15" x14ac:dyDescent="0.25">
      <c r="A593">
        <v>1782059847</v>
      </c>
      <c r="B593" t="s">
        <v>599</v>
      </c>
      <c r="C593" t="s">
        <v>338</v>
      </c>
      <c r="D593" t="s">
        <v>416</v>
      </c>
      <c r="E593" t="s">
        <v>336</v>
      </c>
      <c r="F593">
        <v>250</v>
      </c>
      <c r="K593" s="1">
        <v>46194.984340277777</v>
      </c>
      <c r="M593" t="b">
        <v>1</v>
      </c>
      <c r="N593" s="1">
        <v>46198.697627314818</v>
      </c>
      <c r="O593" s="1">
        <v>46194.984340277777</v>
      </c>
    </row>
    <row r="594" spans="1:15" x14ac:dyDescent="0.25">
      <c r="A594">
        <v>-1142084228</v>
      </c>
      <c r="B594" t="s">
        <v>599</v>
      </c>
      <c r="G594">
        <v>41</v>
      </c>
      <c r="H594" t="s">
        <v>29</v>
      </c>
      <c r="I594">
        <v>2600</v>
      </c>
      <c r="J594">
        <v>2608.1999999999998</v>
      </c>
      <c r="L594" t="s">
        <v>12</v>
      </c>
      <c r="M594" t="b">
        <v>0</v>
      </c>
      <c r="O594" s="1">
        <v>46194.984340277777</v>
      </c>
    </row>
    <row r="595" spans="1:15" x14ac:dyDescent="0.25">
      <c r="A595">
        <v>311322317</v>
      </c>
      <c r="B595" t="s">
        <v>599</v>
      </c>
      <c r="G595">
        <v>35</v>
      </c>
      <c r="H595" t="s">
        <v>36</v>
      </c>
      <c r="I595">
        <v>162.5</v>
      </c>
      <c r="J595">
        <v>164.1</v>
      </c>
      <c r="L595" t="s">
        <v>12</v>
      </c>
      <c r="M595" t="b">
        <v>0</v>
      </c>
      <c r="O595" s="1">
        <v>46194.984340277777</v>
      </c>
    </row>
    <row r="596" spans="1:15" x14ac:dyDescent="0.25">
      <c r="A596">
        <v>-1515962358</v>
      </c>
      <c r="B596" t="s">
        <v>599</v>
      </c>
      <c r="G596">
        <v>44</v>
      </c>
      <c r="H596" t="s">
        <v>16</v>
      </c>
      <c r="I596">
        <v>6.25</v>
      </c>
      <c r="J596">
        <v>6.2</v>
      </c>
      <c r="L596" t="s">
        <v>12</v>
      </c>
      <c r="M596" t="b">
        <v>0</v>
      </c>
      <c r="O596" s="1">
        <v>46194.984340277777</v>
      </c>
    </row>
    <row r="597" spans="1:15" x14ac:dyDescent="0.25">
      <c r="A597">
        <v>-1557053</v>
      </c>
      <c r="B597" t="s">
        <v>599</v>
      </c>
      <c r="G597">
        <v>59</v>
      </c>
      <c r="H597" t="s">
        <v>31</v>
      </c>
      <c r="I597">
        <v>75</v>
      </c>
      <c r="J597">
        <v>75.5</v>
      </c>
      <c r="L597" t="s">
        <v>12</v>
      </c>
      <c r="M597" t="b">
        <v>0</v>
      </c>
      <c r="O597" s="1">
        <v>46194.984340277777</v>
      </c>
    </row>
    <row r="598" spans="1:15" x14ac:dyDescent="0.25">
      <c r="A598">
        <v>1782088216</v>
      </c>
      <c r="B598" t="s">
        <v>600</v>
      </c>
      <c r="C598" t="s">
        <v>518</v>
      </c>
      <c r="D598" t="s">
        <v>563</v>
      </c>
      <c r="E598" t="s">
        <v>340</v>
      </c>
      <c r="F598">
        <v>50</v>
      </c>
      <c r="K598" s="1">
        <v>46195.312685185185</v>
      </c>
      <c r="M598" t="b">
        <v>1</v>
      </c>
      <c r="N598" s="1">
        <v>46198.697627314818</v>
      </c>
      <c r="O598" s="1">
        <v>46195.312685185185</v>
      </c>
    </row>
    <row r="599" spans="1:15" x14ac:dyDescent="0.25">
      <c r="A599">
        <v>2127588921</v>
      </c>
      <c r="B599" t="s">
        <v>600</v>
      </c>
      <c r="G599">
        <v>41</v>
      </c>
      <c r="H599" t="s">
        <v>29</v>
      </c>
      <c r="I599">
        <v>1000</v>
      </c>
      <c r="J599">
        <v>1002.1</v>
      </c>
      <c r="L599" t="s">
        <v>12</v>
      </c>
      <c r="M599" t="b">
        <v>0</v>
      </c>
      <c r="O599" s="1">
        <v>46195.312685185185</v>
      </c>
    </row>
    <row r="600" spans="1:15" x14ac:dyDescent="0.25">
      <c r="A600">
        <v>-1091922426</v>
      </c>
      <c r="B600" t="s">
        <v>600</v>
      </c>
      <c r="G600">
        <v>58</v>
      </c>
      <c r="H600" t="s">
        <v>32</v>
      </c>
      <c r="I600">
        <v>300</v>
      </c>
      <c r="J600">
        <v>302</v>
      </c>
      <c r="L600" t="s">
        <v>12</v>
      </c>
      <c r="M600" t="b">
        <v>0</v>
      </c>
      <c r="O600" s="1">
        <v>46195.312685185185</v>
      </c>
    </row>
    <row r="601" spans="1:15" x14ac:dyDescent="0.25">
      <c r="A601">
        <v>897958671</v>
      </c>
      <c r="B601" t="s">
        <v>600</v>
      </c>
      <c r="G601">
        <v>35</v>
      </c>
      <c r="H601" t="s">
        <v>36</v>
      </c>
      <c r="I601">
        <v>15</v>
      </c>
      <c r="J601">
        <v>15.3</v>
      </c>
      <c r="L601" t="s">
        <v>15</v>
      </c>
      <c r="M601" t="b">
        <v>0</v>
      </c>
      <c r="O601" s="1">
        <v>46195.312685185185</v>
      </c>
    </row>
    <row r="602" spans="1:15" x14ac:dyDescent="0.25">
      <c r="A602">
        <v>1317192612</v>
      </c>
      <c r="B602" t="s">
        <v>600</v>
      </c>
      <c r="G602">
        <v>16</v>
      </c>
      <c r="H602" t="s">
        <v>13</v>
      </c>
      <c r="I602">
        <v>28</v>
      </c>
      <c r="J602">
        <v>28.2</v>
      </c>
      <c r="L602" t="s">
        <v>12</v>
      </c>
      <c r="M602" t="b">
        <v>0</v>
      </c>
      <c r="O602" s="1">
        <v>46195.312685185185</v>
      </c>
    </row>
    <row r="603" spans="1:15" x14ac:dyDescent="0.25">
      <c r="A603">
        <v>1782088764</v>
      </c>
      <c r="B603" t="s">
        <v>601</v>
      </c>
      <c r="C603" t="s">
        <v>602</v>
      </c>
      <c r="D603" t="s">
        <v>603</v>
      </c>
      <c r="E603" t="s">
        <v>313</v>
      </c>
      <c r="F603">
        <v>50</v>
      </c>
      <c r="K603" s="1">
        <v>46195.319027777776</v>
      </c>
      <c r="M603" t="b">
        <v>1</v>
      </c>
      <c r="N603" s="1">
        <v>46198.697627314818</v>
      </c>
      <c r="O603" s="1">
        <v>46195.319027777776</v>
      </c>
    </row>
    <row r="604" spans="1:15" x14ac:dyDescent="0.25">
      <c r="A604">
        <v>1438459533</v>
      </c>
      <c r="B604" t="s">
        <v>601</v>
      </c>
      <c r="G604">
        <v>41</v>
      </c>
      <c r="H604" t="s">
        <v>29</v>
      </c>
      <c r="I604">
        <v>375</v>
      </c>
      <c r="J604">
        <v>377.6</v>
      </c>
      <c r="L604" t="s">
        <v>12</v>
      </c>
      <c r="M604" t="b">
        <v>0</v>
      </c>
      <c r="O604" s="1">
        <v>46195.319027777776</v>
      </c>
    </row>
    <row r="605" spans="1:15" x14ac:dyDescent="0.25">
      <c r="A605">
        <v>-1524468534</v>
      </c>
      <c r="B605" t="s">
        <v>601</v>
      </c>
      <c r="G605">
        <v>4</v>
      </c>
      <c r="H605" t="s">
        <v>27</v>
      </c>
      <c r="I605">
        <v>100</v>
      </c>
      <c r="J605">
        <v>100.1</v>
      </c>
      <c r="L605" t="s">
        <v>12</v>
      </c>
      <c r="M605" t="b">
        <v>0</v>
      </c>
      <c r="O605" s="1">
        <v>46195.319027777776</v>
      </c>
    </row>
    <row r="606" spans="1:15" x14ac:dyDescent="0.25">
      <c r="A606">
        <v>-1132723325</v>
      </c>
      <c r="B606" t="s">
        <v>601</v>
      </c>
      <c r="G606">
        <v>59</v>
      </c>
      <c r="H606" t="s">
        <v>31</v>
      </c>
      <c r="I606">
        <v>25</v>
      </c>
      <c r="J606">
        <v>24.9</v>
      </c>
      <c r="L606" t="s">
        <v>12</v>
      </c>
      <c r="M606" t="b">
        <v>0</v>
      </c>
      <c r="O606" s="1">
        <v>46195.319027777776</v>
      </c>
    </row>
    <row r="607" spans="1:15" x14ac:dyDescent="0.25">
      <c r="A607">
        <v>1782089049</v>
      </c>
      <c r="B607" t="s">
        <v>604</v>
      </c>
      <c r="C607" t="s">
        <v>593</v>
      </c>
      <c r="D607" t="s">
        <v>605</v>
      </c>
      <c r="E607" t="s">
        <v>313</v>
      </c>
      <c r="F607">
        <v>50</v>
      </c>
      <c r="K607" s="1">
        <v>46195.322326388887</v>
      </c>
      <c r="M607" t="b">
        <v>1</v>
      </c>
      <c r="N607" s="1">
        <v>46198.697627314818</v>
      </c>
      <c r="O607" s="1">
        <v>46195.322326388887</v>
      </c>
    </row>
    <row r="608" spans="1:15" x14ac:dyDescent="0.25">
      <c r="A608">
        <v>-855808346</v>
      </c>
      <c r="B608" t="s">
        <v>604</v>
      </c>
      <c r="G608">
        <v>41</v>
      </c>
      <c r="H608" t="s">
        <v>29</v>
      </c>
      <c r="I608">
        <v>280</v>
      </c>
      <c r="J608">
        <v>279.89999999999998</v>
      </c>
      <c r="L608" t="s">
        <v>12</v>
      </c>
      <c r="M608" t="b">
        <v>0</v>
      </c>
      <c r="O608" s="1">
        <v>46195.322326388887</v>
      </c>
    </row>
    <row r="609" spans="1:15" x14ac:dyDescent="0.25">
      <c r="A609">
        <v>-1639698641</v>
      </c>
      <c r="B609" t="s">
        <v>604</v>
      </c>
      <c r="G609">
        <v>58</v>
      </c>
      <c r="H609" t="s">
        <v>32</v>
      </c>
      <c r="I609">
        <v>400</v>
      </c>
      <c r="J609">
        <v>400.8</v>
      </c>
      <c r="L609" t="s">
        <v>12</v>
      </c>
      <c r="M609" t="b">
        <v>0</v>
      </c>
      <c r="O609" s="1">
        <v>46195.322326388887</v>
      </c>
    </row>
    <row r="610" spans="1:15" x14ac:dyDescent="0.25">
      <c r="A610">
        <v>891323716</v>
      </c>
      <c r="B610" t="s">
        <v>604</v>
      </c>
      <c r="G610">
        <v>59</v>
      </c>
      <c r="H610" t="s">
        <v>31</v>
      </c>
      <c r="I610">
        <v>40</v>
      </c>
      <c r="J610">
        <v>39.9</v>
      </c>
      <c r="L610" t="s">
        <v>12</v>
      </c>
      <c r="M610" t="b">
        <v>0</v>
      </c>
      <c r="O610" s="1">
        <v>46195.322326388887</v>
      </c>
    </row>
    <row r="611" spans="1:15" x14ac:dyDescent="0.25">
      <c r="A611">
        <v>-1955429131</v>
      </c>
      <c r="B611" t="s">
        <v>604</v>
      </c>
      <c r="G611">
        <v>35</v>
      </c>
      <c r="H611" t="s">
        <v>36</v>
      </c>
      <c r="I611">
        <v>95</v>
      </c>
      <c r="J611">
        <v>95.9</v>
      </c>
      <c r="L611" t="s">
        <v>12</v>
      </c>
      <c r="M611" t="b">
        <v>0</v>
      </c>
      <c r="O611" s="1">
        <v>46195.322326388887</v>
      </c>
    </row>
    <row r="612" spans="1:15" x14ac:dyDescent="0.25">
      <c r="A612">
        <v>1782089844</v>
      </c>
      <c r="B612" t="s">
        <v>606</v>
      </c>
      <c r="C612" t="s">
        <v>593</v>
      </c>
      <c r="D612" t="s">
        <v>440</v>
      </c>
      <c r="E612" t="s">
        <v>340</v>
      </c>
      <c r="F612">
        <v>50</v>
      </c>
      <c r="K612" s="1">
        <v>46195.33152777778</v>
      </c>
      <c r="M612" t="b">
        <v>1</v>
      </c>
      <c r="N612" s="1">
        <v>46198.697627314818</v>
      </c>
      <c r="O612" s="1">
        <v>46195.33152777778</v>
      </c>
    </row>
    <row r="613" spans="1:15" x14ac:dyDescent="0.25">
      <c r="A613">
        <v>1334326373</v>
      </c>
      <c r="B613" t="s">
        <v>606</v>
      </c>
      <c r="G613">
        <v>41</v>
      </c>
      <c r="H613" t="s">
        <v>29</v>
      </c>
      <c r="I613">
        <v>108</v>
      </c>
      <c r="J613">
        <v>107.9</v>
      </c>
      <c r="L613" t="s">
        <v>12</v>
      </c>
      <c r="M613" t="b">
        <v>0</v>
      </c>
      <c r="O613" s="1">
        <v>46195.33152777778</v>
      </c>
    </row>
    <row r="614" spans="1:15" x14ac:dyDescent="0.25">
      <c r="A614">
        <v>977531842</v>
      </c>
      <c r="B614" t="s">
        <v>606</v>
      </c>
      <c r="G614">
        <v>58</v>
      </c>
      <c r="H614" t="s">
        <v>32</v>
      </c>
      <c r="I614">
        <v>224.5</v>
      </c>
      <c r="J614">
        <v>225</v>
      </c>
      <c r="L614" t="s">
        <v>12</v>
      </c>
      <c r="M614" t="b">
        <v>0</v>
      </c>
      <c r="O614" s="1">
        <v>46195.33152777778</v>
      </c>
    </row>
    <row r="615" spans="1:15" x14ac:dyDescent="0.25">
      <c r="A615">
        <v>-244177637</v>
      </c>
      <c r="B615" t="s">
        <v>606</v>
      </c>
      <c r="G615">
        <v>35</v>
      </c>
      <c r="H615" t="s">
        <v>36</v>
      </c>
      <c r="I615">
        <v>32.5</v>
      </c>
      <c r="J615">
        <v>32.299999999999997</v>
      </c>
      <c r="L615" t="s">
        <v>12</v>
      </c>
      <c r="M615" t="b">
        <v>0</v>
      </c>
      <c r="O615" s="1">
        <v>46195.33152777778</v>
      </c>
    </row>
    <row r="616" spans="1:15" x14ac:dyDescent="0.25">
      <c r="A616">
        <v>-31012928</v>
      </c>
      <c r="B616" t="s">
        <v>606</v>
      </c>
      <c r="G616">
        <v>11</v>
      </c>
      <c r="H616" t="s">
        <v>33</v>
      </c>
      <c r="I616">
        <v>7.5</v>
      </c>
      <c r="J616">
        <v>7.3</v>
      </c>
      <c r="L616" t="s">
        <v>15</v>
      </c>
      <c r="M616" t="b">
        <v>0</v>
      </c>
      <c r="O616" s="1">
        <v>46195.33152777778</v>
      </c>
    </row>
    <row r="617" spans="1:15" x14ac:dyDescent="0.25">
      <c r="A617">
        <v>1782090240</v>
      </c>
      <c r="B617" t="s">
        <v>607</v>
      </c>
      <c r="C617" t="s">
        <v>452</v>
      </c>
      <c r="D617" t="s">
        <v>453</v>
      </c>
      <c r="E617" t="s">
        <v>340</v>
      </c>
      <c r="F617">
        <v>450</v>
      </c>
      <c r="K617" s="1">
        <v>46195.336111111108</v>
      </c>
      <c r="M617" t="b">
        <v>1</v>
      </c>
      <c r="N617" s="1">
        <v>46198.697627314818</v>
      </c>
      <c r="O617" s="1">
        <v>46195.336111111108</v>
      </c>
    </row>
    <row r="618" spans="1:15" x14ac:dyDescent="0.25">
      <c r="A618">
        <v>-135511551</v>
      </c>
      <c r="B618" t="s">
        <v>607</v>
      </c>
      <c r="G618">
        <v>41</v>
      </c>
      <c r="H618" t="s">
        <v>29</v>
      </c>
      <c r="I618">
        <v>5130</v>
      </c>
      <c r="J618">
        <v>5091.6000000000004</v>
      </c>
      <c r="L618" t="s">
        <v>12</v>
      </c>
      <c r="M618" t="b">
        <v>0</v>
      </c>
      <c r="O618" s="1">
        <v>46195.336111111108</v>
      </c>
    </row>
    <row r="619" spans="1:15" x14ac:dyDescent="0.25">
      <c r="A619">
        <v>320110638</v>
      </c>
      <c r="B619" t="s">
        <v>607</v>
      </c>
      <c r="G619">
        <v>35</v>
      </c>
      <c r="H619" t="s">
        <v>36</v>
      </c>
      <c r="I619">
        <v>326.7</v>
      </c>
      <c r="J619">
        <v>326.5</v>
      </c>
      <c r="L619" t="s">
        <v>12</v>
      </c>
      <c r="M619" t="b">
        <v>0</v>
      </c>
      <c r="O619" s="1">
        <v>46195.336111111108</v>
      </c>
    </row>
    <row r="620" spans="1:15" x14ac:dyDescent="0.25">
      <c r="A620">
        <v>1799609367</v>
      </c>
      <c r="B620" t="s">
        <v>607</v>
      </c>
      <c r="G620">
        <v>44</v>
      </c>
      <c r="H620" t="s">
        <v>16</v>
      </c>
      <c r="I620">
        <v>72.900000000000006</v>
      </c>
      <c r="J620">
        <v>72.8</v>
      </c>
      <c r="L620" t="s">
        <v>12</v>
      </c>
      <c r="M620" t="b">
        <v>0</v>
      </c>
      <c r="O620" s="1">
        <v>46195.336111111108</v>
      </c>
    </row>
    <row r="621" spans="1:15" x14ac:dyDescent="0.25">
      <c r="A621">
        <v>1782093826</v>
      </c>
      <c r="B621" t="s">
        <v>608</v>
      </c>
      <c r="C621" t="s">
        <v>342</v>
      </c>
      <c r="D621" t="s">
        <v>221</v>
      </c>
      <c r="E621" t="s">
        <v>336</v>
      </c>
      <c r="F621">
        <v>50</v>
      </c>
      <c r="K621" s="1">
        <v>46195.377615740741</v>
      </c>
      <c r="M621" t="b">
        <v>1</v>
      </c>
      <c r="N621" s="1">
        <v>46198.697627314818</v>
      </c>
      <c r="O621" s="1">
        <v>46195.377615740741</v>
      </c>
    </row>
    <row r="622" spans="1:15" x14ac:dyDescent="0.25">
      <c r="A622">
        <v>-83590053</v>
      </c>
      <c r="B622" t="s">
        <v>608</v>
      </c>
      <c r="G622">
        <v>41</v>
      </c>
      <c r="H622" t="s">
        <v>29</v>
      </c>
      <c r="I622">
        <v>495.5</v>
      </c>
      <c r="J622">
        <v>497.8</v>
      </c>
      <c r="L622" t="s">
        <v>12</v>
      </c>
      <c r="M622" t="b">
        <v>0</v>
      </c>
      <c r="O622" s="1">
        <v>46195.377615740741</v>
      </c>
    </row>
    <row r="623" spans="1:15" x14ac:dyDescent="0.25">
      <c r="A623">
        <v>-1099627008</v>
      </c>
      <c r="B623" t="s">
        <v>608</v>
      </c>
      <c r="G623">
        <v>35</v>
      </c>
      <c r="H623" t="s">
        <v>36</v>
      </c>
      <c r="I623">
        <v>145.5</v>
      </c>
      <c r="J623">
        <v>146.6</v>
      </c>
      <c r="L623" t="s">
        <v>12</v>
      </c>
      <c r="M623" t="b">
        <v>0</v>
      </c>
      <c r="O623" s="1">
        <v>46195.377615740741</v>
      </c>
    </row>
    <row r="624" spans="1:15" x14ac:dyDescent="0.25">
      <c r="A624">
        <v>1782100757</v>
      </c>
      <c r="B624" t="s">
        <v>609</v>
      </c>
      <c r="C624" t="s">
        <v>358</v>
      </c>
      <c r="D624" t="s">
        <v>359</v>
      </c>
      <c r="E624" t="s">
        <v>336</v>
      </c>
      <c r="F624">
        <v>50</v>
      </c>
      <c r="K624" s="1">
        <v>46195.457835648151</v>
      </c>
      <c r="M624" t="b">
        <v>1</v>
      </c>
      <c r="N624" s="1">
        <v>46198.697627314818</v>
      </c>
      <c r="O624" s="1">
        <v>46195.457835648151</v>
      </c>
    </row>
    <row r="625" spans="1:15" x14ac:dyDescent="0.25">
      <c r="A625">
        <v>-1189324622</v>
      </c>
      <c r="B625" t="s">
        <v>609</v>
      </c>
      <c r="G625">
        <v>41</v>
      </c>
      <c r="H625" t="s">
        <v>29</v>
      </c>
      <c r="I625">
        <v>1087.5</v>
      </c>
      <c r="J625">
        <v>1091.3</v>
      </c>
      <c r="L625" t="s">
        <v>12</v>
      </c>
      <c r="M625" t="b">
        <v>0</v>
      </c>
      <c r="O625" s="1">
        <v>46195.457835648151</v>
      </c>
    </row>
    <row r="626" spans="1:15" x14ac:dyDescent="0.25">
      <c r="A626">
        <v>875266891</v>
      </c>
      <c r="B626" t="s">
        <v>609</v>
      </c>
      <c r="G626">
        <v>44</v>
      </c>
      <c r="H626" t="s">
        <v>16</v>
      </c>
      <c r="I626">
        <v>225</v>
      </c>
      <c r="J626">
        <v>223.1</v>
      </c>
      <c r="L626" t="s">
        <v>12</v>
      </c>
      <c r="M626" t="b">
        <v>0</v>
      </c>
      <c r="O626" s="1">
        <v>46195.457835648151</v>
      </c>
    </row>
    <row r="627" spans="1:15" x14ac:dyDescent="0.25">
      <c r="A627">
        <v>1782109024</v>
      </c>
      <c r="B627" t="s">
        <v>610</v>
      </c>
      <c r="C627" t="s">
        <v>469</v>
      </c>
      <c r="D627" t="s">
        <v>470</v>
      </c>
      <c r="E627" t="s">
        <v>340</v>
      </c>
      <c r="F627">
        <v>400</v>
      </c>
      <c r="K627" s="1">
        <v>46195.553518518522</v>
      </c>
      <c r="M627" t="b">
        <v>1</v>
      </c>
      <c r="N627" s="1">
        <v>46198.697627314818</v>
      </c>
      <c r="O627" s="1">
        <v>46195.553518518522</v>
      </c>
    </row>
    <row r="628" spans="1:15" x14ac:dyDescent="0.25">
      <c r="A628">
        <v>-1310365727</v>
      </c>
      <c r="B628" t="s">
        <v>610</v>
      </c>
      <c r="G628">
        <v>41</v>
      </c>
      <c r="H628" t="s">
        <v>29</v>
      </c>
      <c r="I628">
        <v>2400</v>
      </c>
      <c r="J628">
        <v>2396.6</v>
      </c>
      <c r="L628" t="s">
        <v>12</v>
      </c>
      <c r="M628" t="b">
        <v>0</v>
      </c>
      <c r="O628" s="1">
        <v>46195.553518518522</v>
      </c>
    </row>
    <row r="629" spans="1:15" x14ac:dyDescent="0.25">
      <c r="A629">
        <v>-1276680050</v>
      </c>
      <c r="B629" t="s">
        <v>610</v>
      </c>
      <c r="G629">
        <v>16</v>
      </c>
      <c r="H629" t="s">
        <v>13</v>
      </c>
      <c r="I629">
        <v>40</v>
      </c>
      <c r="J629">
        <v>40.299999999999997</v>
      </c>
      <c r="L629" t="s">
        <v>12</v>
      </c>
      <c r="M629" t="b">
        <v>0</v>
      </c>
      <c r="O629" s="1">
        <v>46195.553518518522</v>
      </c>
    </row>
    <row r="630" spans="1:15" x14ac:dyDescent="0.25">
      <c r="A630">
        <v>1782109320</v>
      </c>
      <c r="B630" t="s">
        <v>611</v>
      </c>
      <c r="C630" t="s">
        <v>612</v>
      </c>
      <c r="D630" t="s">
        <v>613</v>
      </c>
      <c r="E630" t="s">
        <v>313</v>
      </c>
      <c r="F630">
        <v>450</v>
      </c>
      <c r="K630" s="1">
        <v>46195.556944444441</v>
      </c>
      <c r="M630" t="b">
        <v>1</v>
      </c>
      <c r="N630" s="1">
        <v>46198.697627314818</v>
      </c>
      <c r="O630" s="1">
        <v>46195.556944444441</v>
      </c>
    </row>
    <row r="631" spans="1:15" x14ac:dyDescent="0.25">
      <c r="A631">
        <v>888114153</v>
      </c>
      <c r="B631" t="s">
        <v>611</v>
      </c>
      <c r="G631">
        <v>41</v>
      </c>
      <c r="H631" t="s">
        <v>29</v>
      </c>
      <c r="I631">
        <v>3010.5</v>
      </c>
      <c r="J631">
        <v>3020.6</v>
      </c>
      <c r="L631" t="s">
        <v>12</v>
      </c>
      <c r="M631" t="b">
        <v>0</v>
      </c>
      <c r="O631" s="1">
        <v>46195.556944444441</v>
      </c>
    </row>
    <row r="632" spans="1:15" x14ac:dyDescent="0.25">
      <c r="A632">
        <v>-1290867210</v>
      </c>
      <c r="B632" t="s">
        <v>611</v>
      </c>
      <c r="G632">
        <v>35</v>
      </c>
      <c r="H632" t="s">
        <v>36</v>
      </c>
      <c r="I632">
        <v>273.14999999999998</v>
      </c>
      <c r="J632">
        <v>275.39999999999998</v>
      </c>
      <c r="L632" t="s">
        <v>12</v>
      </c>
      <c r="M632" t="b">
        <v>0</v>
      </c>
      <c r="O632" s="1">
        <v>46195.556944444441</v>
      </c>
    </row>
    <row r="633" spans="1:15" x14ac:dyDescent="0.25">
      <c r="A633">
        <v>317380671</v>
      </c>
      <c r="B633" t="s">
        <v>611</v>
      </c>
      <c r="G633">
        <v>11</v>
      </c>
      <c r="H633" t="s">
        <v>33</v>
      </c>
      <c r="I633">
        <v>148.5</v>
      </c>
      <c r="J633">
        <v>149.5</v>
      </c>
      <c r="L633" t="s">
        <v>12</v>
      </c>
      <c r="M633" t="b">
        <v>0</v>
      </c>
      <c r="O633" s="1">
        <v>46195.556944444441</v>
      </c>
    </row>
    <row r="634" spans="1:15" x14ac:dyDescent="0.25">
      <c r="A634">
        <v>1782120538</v>
      </c>
      <c r="B634" t="s">
        <v>614</v>
      </c>
      <c r="C634" t="s">
        <v>615</v>
      </c>
      <c r="D634" t="s">
        <v>616</v>
      </c>
      <c r="E634" t="s">
        <v>313</v>
      </c>
      <c r="F634">
        <v>50</v>
      </c>
      <c r="K634" s="1">
        <v>46195.686782407407</v>
      </c>
      <c r="M634" t="b">
        <v>1</v>
      </c>
      <c r="N634" s="1">
        <v>46198.697627314818</v>
      </c>
      <c r="O634" s="1">
        <v>46195.686782407407</v>
      </c>
    </row>
    <row r="635" spans="1:15" x14ac:dyDescent="0.25">
      <c r="A635">
        <v>-1227494445</v>
      </c>
      <c r="B635" t="s">
        <v>614</v>
      </c>
      <c r="G635">
        <v>41</v>
      </c>
      <c r="H635" t="s">
        <v>29</v>
      </c>
      <c r="I635">
        <v>875</v>
      </c>
      <c r="J635">
        <v>878.2</v>
      </c>
      <c r="L635" t="s">
        <v>12</v>
      </c>
      <c r="M635" t="b">
        <v>0</v>
      </c>
      <c r="O635" s="1">
        <v>46195.686782407407</v>
      </c>
    </row>
    <row r="636" spans="1:15" x14ac:dyDescent="0.25">
      <c r="A636">
        <v>1798964760</v>
      </c>
      <c r="B636" t="s">
        <v>614</v>
      </c>
      <c r="G636">
        <v>35</v>
      </c>
      <c r="H636" t="s">
        <v>36</v>
      </c>
      <c r="I636">
        <v>28</v>
      </c>
      <c r="J636">
        <v>28.4</v>
      </c>
      <c r="L636" t="s">
        <v>15</v>
      </c>
      <c r="M636" t="b">
        <v>0</v>
      </c>
      <c r="O636" s="1">
        <v>46195.686782407407</v>
      </c>
    </row>
    <row r="637" spans="1:15" x14ac:dyDescent="0.25">
      <c r="A637">
        <v>145531449</v>
      </c>
      <c r="B637" t="s">
        <v>614</v>
      </c>
      <c r="G637">
        <v>44</v>
      </c>
      <c r="H637" t="s">
        <v>16</v>
      </c>
      <c r="I637">
        <v>38</v>
      </c>
      <c r="J637">
        <v>38.299999999999997</v>
      </c>
      <c r="L637" t="s">
        <v>12</v>
      </c>
      <c r="M637" t="b">
        <v>0</v>
      </c>
      <c r="O637" s="1">
        <v>46195.686782407407</v>
      </c>
    </row>
    <row r="638" spans="1:15" x14ac:dyDescent="0.25">
      <c r="A638">
        <v>1782121316</v>
      </c>
      <c r="B638" t="s">
        <v>617</v>
      </c>
      <c r="C638" t="s">
        <v>618</v>
      </c>
      <c r="D638" t="s">
        <v>619</v>
      </c>
      <c r="E638" t="s">
        <v>340</v>
      </c>
      <c r="F638">
        <v>50</v>
      </c>
      <c r="K638" s="1">
        <v>46195.695787037039</v>
      </c>
      <c r="M638" t="b">
        <v>1</v>
      </c>
      <c r="N638" s="1">
        <v>46198.697627314818</v>
      </c>
      <c r="O638" s="1">
        <v>46195.695787037039</v>
      </c>
    </row>
    <row r="639" spans="1:15" x14ac:dyDescent="0.25">
      <c r="A639">
        <v>-904826731</v>
      </c>
      <c r="B639" t="s">
        <v>617</v>
      </c>
      <c r="G639">
        <v>41</v>
      </c>
      <c r="H639" t="s">
        <v>29</v>
      </c>
      <c r="I639">
        <v>635</v>
      </c>
      <c r="J639">
        <v>629.9</v>
      </c>
      <c r="L639" t="s">
        <v>12</v>
      </c>
      <c r="M639" t="b">
        <v>0</v>
      </c>
      <c r="O639" s="1">
        <v>46195.695787037039</v>
      </c>
    </row>
    <row r="640" spans="1:15" x14ac:dyDescent="0.25">
      <c r="A640">
        <v>745973810</v>
      </c>
      <c r="B640" t="s">
        <v>617</v>
      </c>
      <c r="G640">
        <v>35</v>
      </c>
      <c r="H640" t="s">
        <v>36</v>
      </c>
      <c r="I640">
        <v>30</v>
      </c>
      <c r="J640">
        <v>30.5</v>
      </c>
      <c r="L640" t="s">
        <v>15</v>
      </c>
      <c r="M640" t="b">
        <v>0</v>
      </c>
      <c r="O640" s="1">
        <v>46195.695787037039</v>
      </c>
    </row>
    <row r="641" spans="1:15" x14ac:dyDescent="0.25">
      <c r="A641">
        <v>-25658165</v>
      </c>
      <c r="B641" t="s">
        <v>617</v>
      </c>
      <c r="G641">
        <v>44</v>
      </c>
      <c r="H641" t="s">
        <v>16</v>
      </c>
      <c r="I641">
        <v>36</v>
      </c>
      <c r="J641">
        <v>36.5</v>
      </c>
      <c r="L641" t="s">
        <v>15</v>
      </c>
      <c r="M641" t="b">
        <v>0</v>
      </c>
      <c r="O641" s="1">
        <v>46195.695787037039</v>
      </c>
    </row>
    <row r="642" spans="1:15" x14ac:dyDescent="0.25">
      <c r="A642">
        <v>1782130904</v>
      </c>
      <c r="B642" t="s">
        <v>620</v>
      </c>
      <c r="C642" t="s">
        <v>419</v>
      </c>
      <c r="D642" t="s">
        <v>596</v>
      </c>
      <c r="E642" t="s">
        <v>364</v>
      </c>
      <c r="F642">
        <v>250</v>
      </c>
      <c r="K642" s="1">
        <v>46195.806747685187</v>
      </c>
      <c r="M642" t="b">
        <v>1</v>
      </c>
      <c r="N642" s="1">
        <v>46198.697627314818</v>
      </c>
      <c r="O642" s="1">
        <v>46195.806747685187</v>
      </c>
    </row>
    <row r="643" spans="1:15" x14ac:dyDescent="0.25">
      <c r="A643">
        <v>79576569</v>
      </c>
      <c r="B643" t="s">
        <v>620</v>
      </c>
      <c r="G643">
        <v>41</v>
      </c>
      <c r="H643" t="s">
        <v>29</v>
      </c>
      <c r="I643">
        <v>2750</v>
      </c>
      <c r="J643">
        <v>2752.8</v>
      </c>
      <c r="L643" t="s">
        <v>12</v>
      </c>
      <c r="M643" t="b">
        <v>0</v>
      </c>
      <c r="O643" s="1">
        <v>46195.806747685187</v>
      </c>
    </row>
    <row r="644" spans="1:15" x14ac:dyDescent="0.25">
      <c r="A644">
        <v>576625350</v>
      </c>
      <c r="B644" t="s">
        <v>620</v>
      </c>
      <c r="G644">
        <v>44</v>
      </c>
      <c r="H644" t="s">
        <v>16</v>
      </c>
      <c r="I644">
        <v>27.75</v>
      </c>
      <c r="J644">
        <v>26.8</v>
      </c>
      <c r="L644" t="s">
        <v>15</v>
      </c>
      <c r="M644" t="b">
        <v>0</v>
      </c>
      <c r="O644" s="1">
        <v>46195.806747685187</v>
      </c>
    </row>
    <row r="645" spans="1:15" x14ac:dyDescent="0.25">
      <c r="A645">
        <v>1563367631</v>
      </c>
      <c r="B645" t="s">
        <v>620</v>
      </c>
      <c r="G645">
        <v>35</v>
      </c>
      <c r="H645" t="s">
        <v>36</v>
      </c>
      <c r="I645">
        <v>250</v>
      </c>
      <c r="J645">
        <v>250</v>
      </c>
      <c r="L645" t="s">
        <v>12</v>
      </c>
      <c r="M645" t="b">
        <v>0</v>
      </c>
      <c r="O645" s="1">
        <v>46195.806747685187</v>
      </c>
    </row>
    <row r="646" spans="1:15" x14ac:dyDescent="0.25">
      <c r="A646">
        <v>1782131091</v>
      </c>
      <c r="B646" t="s">
        <v>621</v>
      </c>
      <c r="C646" t="s">
        <v>452</v>
      </c>
      <c r="D646" t="s">
        <v>453</v>
      </c>
      <c r="E646" t="s">
        <v>336</v>
      </c>
      <c r="F646">
        <v>250</v>
      </c>
      <c r="K646" s="1">
        <v>46195.808912037035</v>
      </c>
      <c r="M646" t="b">
        <v>1</v>
      </c>
      <c r="N646" s="1">
        <v>46198.697627314818</v>
      </c>
      <c r="O646" s="1">
        <v>46195.808912037035</v>
      </c>
    </row>
    <row r="647" spans="1:15" x14ac:dyDescent="0.25">
      <c r="A647">
        <v>-853122856</v>
      </c>
      <c r="B647" t="s">
        <v>621</v>
      </c>
      <c r="G647">
        <v>41</v>
      </c>
      <c r="H647" t="s">
        <v>29</v>
      </c>
      <c r="I647">
        <v>2850</v>
      </c>
      <c r="J647">
        <v>2851.6</v>
      </c>
      <c r="L647" t="s">
        <v>12</v>
      </c>
      <c r="M647" t="b">
        <v>0</v>
      </c>
      <c r="O647" s="1">
        <v>46195.808912037035</v>
      </c>
    </row>
    <row r="648" spans="1:15" x14ac:dyDescent="0.25">
      <c r="A648">
        <v>-2000611847</v>
      </c>
      <c r="B648" t="s">
        <v>621</v>
      </c>
      <c r="G648">
        <v>35</v>
      </c>
      <c r="H648" t="s">
        <v>36</v>
      </c>
      <c r="I648">
        <v>181.5</v>
      </c>
      <c r="J648">
        <v>181.5</v>
      </c>
      <c r="L648" t="s">
        <v>12</v>
      </c>
      <c r="M648" t="b">
        <v>0</v>
      </c>
      <c r="O648" s="1">
        <v>46195.808912037035</v>
      </c>
    </row>
    <row r="649" spans="1:15" x14ac:dyDescent="0.25">
      <c r="A649">
        <v>-454126906</v>
      </c>
      <c r="B649" t="s">
        <v>621</v>
      </c>
      <c r="G649">
        <v>44</v>
      </c>
      <c r="H649" t="s">
        <v>16</v>
      </c>
      <c r="I649">
        <v>40.5</v>
      </c>
      <c r="J649">
        <v>40.6</v>
      </c>
      <c r="L649" t="s">
        <v>12</v>
      </c>
      <c r="M649" t="b">
        <v>0</v>
      </c>
      <c r="O649" s="1">
        <v>46195.808912037035</v>
      </c>
    </row>
    <row r="650" spans="1:15" x14ac:dyDescent="0.25">
      <c r="A650">
        <v>1782134976</v>
      </c>
      <c r="B650" t="s">
        <v>622</v>
      </c>
      <c r="C650" t="s">
        <v>579</v>
      </c>
      <c r="D650" t="s">
        <v>580</v>
      </c>
      <c r="E650" t="s">
        <v>336</v>
      </c>
      <c r="F650">
        <v>15</v>
      </c>
      <c r="K650" s="1">
        <v>46195.853888888887</v>
      </c>
      <c r="M650" t="b">
        <v>1</v>
      </c>
      <c r="N650" s="1">
        <v>46198.697627314818</v>
      </c>
      <c r="O650" s="1">
        <v>46195.853888888887</v>
      </c>
    </row>
    <row r="651" spans="1:15" x14ac:dyDescent="0.25">
      <c r="A651">
        <v>-2062845503</v>
      </c>
      <c r="B651" t="s">
        <v>622</v>
      </c>
      <c r="G651">
        <v>41</v>
      </c>
      <c r="H651" t="s">
        <v>29</v>
      </c>
      <c r="I651">
        <v>140</v>
      </c>
      <c r="J651">
        <v>139.93</v>
      </c>
      <c r="L651" t="s">
        <v>12</v>
      </c>
      <c r="M651" t="b">
        <v>0</v>
      </c>
      <c r="O651" s="1">
        <v>46195.853888888887</v>
      </c>
    </row>
    <row r="652" spans="1:15" x14ac:dyDescent="0.25">
      <c r="A652">
        <v>497536238</v>
      </c>
      <c r="B652" t="s">
        <v>622</v>
      </c>
      <c r="G652">
        <v>58</v>
      </c>
      <c r="H652" t="s">
        <v>32</v>
      </c>
      <c r="I652">
        <v>110</v>
      </c>
      <c r="J652">
        <v>110.69</v>
      </c>
      <c r="L652" t="s">
        <v>12</v>
      </c>
      <c r="M652" t="b">
        <v>0</v>
      </c>
      <c r="O652" s="1">
        <v>46195.853888888887</v>
      </c>
    </row>
    <row r="653" spans="1:15" x14ac:dyDescent="0.25">
      <c r="A653">
        <v>236771799</v>
      </c>
      <c r="B653" t="s">
        <v>622</v>
      </c>
      <c r="G653">
        <v>35</v>
      </c>
      <c r="H653" t="s">
        <v>36</v>
      </c>
      <c r="I653">
        <v>16</v>
      </c>
      <c r="J653">
        <v>16.010000000000002</v>
      </c>
      <c r="L653" t="s">
        <v>12</v>
      </c>
      <c r="M653" t="b">
        <v>0</v>
      </c>
      <c r="O653" s="1">
        <v>46195.853888888887</v>
      </c>
    </row>
    <row r="654" spans="1:15" x14ac:dyDescent="0.25">
      <c r="A654">
        <v>-376867636</v>
      </c>
      <c r="B654" t="s">
        <v>622</v>
      </c>
      <c r="G654">
        <v>44</v>
      </c>
      <c r="H654" t="s">
        <v>16</v>
      </c>
      <c r="I654">
        <v>13.5</v>
      </c>
      <c r="J654">
        <v>13.54</v>
      </c>
      <c r="L654" t="s">
        <v>12</v>
      </c>
      <c r="M654" t="b">
        <v>0</v>
      </c>
      <c r="O654" s="1">
        <v>46195.853888888887</v>
      </c>
    </row>
    <row r="655" spans="1:15" x14ac:dyDescent="0.25">
      <c r="A655">
        <v>1782136465</v>
      </c>
      <c r="B655" t="s">
        <v>623</v>
      </c>
      <c r="C655" t="s">
        <v>624</v>
      </c>
      <c r="D655" t="s">
        <v>625</v>
      </c>
      <c r="E655" t="s">
        <v>336</v>
      </c>
      <c r="F655">
        <v>450</v>
      </c>
      <c r="K655" s="1">
        <v>46195.871122685188</v>
      </c>
      <c r="M655" t="b">
        <v>1</v>
      </c>
      <c r="N655" s="1">
        <v>46198.697627314818</v>
      </c>
      <c r="O655" s="1">
        <v>46195.871122685188</v>
      </c>
    </row>
    <row r="656" spans="1:15" x14ac:dyDescent="0.25">
      <c r="A656">
        <v>-1450818178</v>
      </c>
      <c r="B656" t="s">
        <v>623</v>
      </c>
      <c r="G656">
        <v>41</v>
      </c>
      <c r="H656" t="s">
        <v>29</v>
      </c>
      <c r="I656">
        <v>2520</v>
      </c>
      <c r="J656">
        <v>2529.6999999999998</v>
      </c>
      <c r="L656" t="s">
        <v>12</v>
      </c>
      <c r="M656" t="b">
        <v>0</v>
      </c>
      <c r="O656" s="1">
        <v>46195.871122685188</v>
      </c>
    </row>
    <row r="657" spans="1:15" x14ac:dyDescent="0.25">
      <c r="A657">
        <v>-662082777</v>
      </c>
      <c r="B657" t="s">
        <v>623</v>
      </c>
      <c r="G657">
        <v>68</v>
      </c>
      <c r="H657" t="s">
        <v>14</v>
      </c>
      <c r="I657">
        <v>373.5</v>
      </c>
      <c r="J657">
        <v>371</v>
      </c>
      <c r="L657" t="s">
        <v>12</v>
      </c>
      <c r="M657" t="b">
        <v>0</v>
      </c>
      <c r="O657" s="1">
        <v>46195.871122685188</v>
      </c>
    </row>
    <row r="658" spans="1:15" x14ac:dyDescent="0.25">
      <c r="A658">
        <v>-852697124</v>
      </c>
      <c r="B658" t="s">
        <v>623</v>
      </c>
      <c r="G658">
        <v>11</v>
      </c>
      <c r="H658" t="s">
        <v>33</v>
      </c>
      <c r="I658">
        <v>112.5</v>
      </c>
      <c r="J658">
        <v>112.4</v>
      </c>
      <c r="L658" t="s">
        <v>12</v>
      </c>
      <c r="M658" t="b">
        <v>0</v>
      </c>
      <c r="O658" s="1">
        <v>46195.871122685188</v>
      </c>
    </row>
    <row r="659" spans="1:15" x14ac:dyDescent="0.25">
      <c r="A659">
        <v>1782137292</v>
      </c>
      <c r="B659" t="s">
        <v>626</v>
      </c>
      <c r="C659" t="s">
        <v>452</v>
      </c>
      <c r="D659" t="s">
        <v>453</v>
      </c>
      <c r="E659" t="s">
        <v>336</v>
      </c>
      <c r="F659">
        <v>450</v>
      </c>
      <c r="K659" s="1">
        <v>46195.880694444444</v>
      </c>
      <c r="M659" t="b">
        <v>1</v>
      </c>
      <c r="N659" s="1">
        <v>46198.697627314818</v>
      </c>
      <c r="O659" s="1">
        <v>46195.880694444444</v>
      </c>
    </row>
    <row r="660" spans="1:15" x14ac:dyDescent="0.25">
      <c r="A660">
        <v>-1808934691</v>
      </c>
      <c r="B660" t="s">
        <v>626</v>
      </c>
      <c r="G660">
        <v>41</v>
      </c>
      <c r="H660" t="s">
        <v>29</v>
      </c>
      <c r="I660">
        <v>5130</v>
      </c>
      <c r="J660">
        <v>5141.2</v>
      </c>
      <c r="L660" t="s">
        <v>12</v>
      </c>
      <c r="M660" t="b">
        <v>0</v>
      </c>
      <c r="O660" s="1">
        <v>46195.880694444444</v>
      </c>
    </row>
    <row r="661" spans="1:15" x14ac:dyDescent="0.25">
      <c r="A661">
        <v>-484070182</v>
      </c>
      <c r="B661" t="s">
        <v>626</v>
      </c>
      <c r="G661">
        <v>35</v>
      </c>
      <c r="H661" t="s">
        <v>36</v>
      </c>
      <c r="I661">
        <v>326.7</v>
      </c>
      <c r="J661">
        <v>326.10000000000002</v>
      </c>
      <c r="L661" t="s">
        <v>12</v>
      </c>
      <c r="M661" t="b">
        <v>0</v>
      </c>
      <c r="O661" s="1">
        <v>46195.880694444444</v>
      </c>
    </row>
    <row r="662" spans="1:15" x14ac:dyDescent="0.25">
      <c r="A662">
        <v>996884051</v>
      </c>
      <c r="B662" t="s">
        <v>626</v>
      </c>
      <c r="G662">
        <v>44</v>
      </c>
      <c r="H662" t="s">
        <v>16</v>
      </c>
      <c r="I662">
        <v>72.900000000000006</v>
      </c>
      <c r="J662">
        <v>72.7</v>
      </c>
      <c r="L662" t="s">
        <v>12</v>
      </c>
      <c r="M662" t="b">
        <v>0</v>
      </c>
      <c r="O662" s="1">
        <v>46195.880694444444</v>
      </c>
    </row>
    <row r="663" spans="1:15" x14ac:dyDescent="0.25">
      <c r="A663">
        <v>1782137466</v>
      </c>
      <c r="B663" t="s">
        <v>627</v>
      </c>
      <c r="C663" t="s">
        <v>612</v>
      </c>
      <c r="D663" t="s">
        <v>613</v>
      </c>
      <c r="E663" t="s">
        <v>313</v>
      </c>
      <c r="F663">
        <v>250</v>
      </c>
      <c r="K663" s="1">
        <v>46195.882696759261</v>
      </c>
      <c r="M663" t="b">
        <v>1</v>
      </c>
      <c r="N663" s="1">
        <v>46198.697627314818</v>
      </c>
      <c r="O663" s="1">
        <v>46195.882696759261</v>
      </c>
    </row>
    <row r="664" spans="1:15" x14ac:dyDescent="0.25">
      <c r="A664">
        <v>-632665229</v>
      </c>
      <c r="B664" t="s">
        <v>627</v>
      </c>
      <c r="G664">
        <v>41</v>
      </c>
      <c r="H664" t="s">
        <v>29</v>
      </c>
      <c r="I664">
        <v>1672.5</v>
      </c>
      <c r="J664">
        <v>1678.2</v>
      </c>
      <c r="L664" t="s">
        <v>12</v>
      </c>
      <c r="M664" t="b">
        <v>0</v>
      </c>
      <c r="O664" s="1">
        <v>46195.882696759261</v>
      </c>
    </row>
    <row r="665" spans="1:15" x14ac:dyDescent="0.25">
      <c r="A665">
        <v>-57109192</v>
      </c>
      <c r="B665" t="s">
        <v>627</v>
      </c>
      <c r="G665">
        <v>35</v>
      </c>
      <c r="H665" t="s">
        <v>36</v>
      </c>
      <c r="I665">
        <v>151.75</v>
      </c>
      <c r="J665">
        <v>150.80000000000001</v>
      </c>
      <c r="L665" t="s">
        <v>12</v>
      </c>
      <c r="M665" t="b">
        <v>0</v>
      </c>
      <c r="O665" s="1">
        <v>46195.882696759261</v>
      </c>
    </row>
    <row r="666" spans="1:15" x14ac:dyDescent="0.25">
      <c r="A666">
        <v>-1293776167</v>
      </c>
      <c r="B666" t="s">
        <v>627</v>
      </c>
      <c r="G666">
        <v>11</v>
      </c>
      <c r="H666" t="s">
        <v>33</v>
      </c>
      <c r="I666">
        <v>82.5</v>
      </c>
      <c r="J666">
        <v>82.3</v>
      </c>
      <c r="L666" t="s">
        <v>12</v>
      </c>
      <c r="M666" t="b">
        <v>0</v>
      </c>
      <c r="O666" s="1">
        <v>46195.882696759261</v>
      </c>
    </row>
    <row r="667" spans="1:15" x14ac:dyDescent="0.25">
      <c r="A667">
        <v>1782146438</v>
      </c>
      <c r="B667" t="s">
        <v>628</v>
      </c>
      <c r="C667" t="s">
        <v>452</v>
      </c>
      <c r="D667" t="s">
        <v>453</v>
      </c>
      <c r="E667" t="s">
        <v>336</v>
      </c>
      <c r="F667">
        <v>50</v>
      </c>
      <c r="K667" s="1">
        <v>46195.986539351848</v>
      </c>
      <c r="M667" t="b">
        <v>1</v>
      </c>
      <c r="N667" s="1">
        <v>46198.697627314818</v>
      </c>
      <c r="O667" s="1">
        <v>46195.986539351848</v>
      </c>
    </row>
    <row r="668" spans="1:15" x14ac:dyDescent="0.25">
      <c r="A668">
        <v>-2134033265</v>
      </c>
      <c r="B668" t="s">
        <v>628</v>
      </c>
      <c r="H668" t="s">
        <v>29</v>
      </c>
      <c r="I668">
        <v>570</v>
      </c>
      <c r="J668">
        <v>575.29999999999995</v>
      </c>
      <c r="L668" t="s">
        <v>12</v>
      </c>
      <c r="M668" t="b">
        <v>0</v>
      </c>
      <c r="O668" s="1">
        <v>46195.986539351848</v>
      </c>
    </row>
    <row r="669" spans="1:15" x14ac:dyDescent="0.25">
      <c r="A669">
        <v>-1589895388</v>
      </c>
      <c r="B669" t="s">
        <v>628</v>
      </c>
      <c r="G669">
        <v>35</v>
      </c>
      <c r="H669" t="s">
        <v>36</v>
      </c>
      <c r="I669">
        <v>36.299999999999997</v>
      </c>
      <c r="J669">
        <v>36.5</v>
      </c>
      <c r="L669" t="s">
        <v>12</v>
      </c>
      <c r="M669" t="b">
        <v>0</v>
      </c>
      <c r="O669" s="1">
        <v>46195.986539351848</v>
      </c>
    </row>
    <row r="670" spans="1:15" x14ac:dyDescent="0.25">
      <c r="A670">
        <v>1888211285</v>
      </c>
      <c r="B670" t="s">
        <v>628</v>
      </c>
      <c r="G670">
        <v>44</v>
      </c>
      <c r="H670" t="s">
        <v>16</v>
      </c>
      <c r="I670">
        <v>8.1</v>
      </c>
      <c r="J670">
        <v>8.1999999999999993</v>
      </c>
      <c r="L670" t="s">
        <v>15</v>
      </c>
      <c r="M670" t="b">
        <v>0</v>
      </c>
      <c r="O670" s="1">
        <v>46195.986539351848</v>
      </c>
    </row>
    <row r="671" spans="1:15" x14ac:dyDescent="0.25">
      <c r="A671">
        <v>1782156859</v>
      </c>
      <c r="B671" t="s">
        <v>629</v>
      </c>
      <c r="C671" t="s">
        <v>624</v>
      </c>
      <c r="D671" t="s">
        <v>630</v>
      </c>
      <c r="E671" t="s">
        <v>336</v>
      </c>
      <c r="F671">
        <v>250</v>
      </c>
      <c r="K671" s="1">
        <v>46196.107164351852</v>
      </c>
      <c r="M671" t="b">
        <v>1</v>
      </c>
      <c r="N671" s="1">
        <v>46198.697627314818</v>
      </c>
      <c r="O671" s="1">
        <v>46196.107164351852</v>
      </c>
    </row>
    <row r="672" spans="1:15" x14ac:dyDescent="0.25">
      <c r="A672">
        <v>161940064</v>
      </c>
      <c r="B672" t="s">
        <v>629</v>
      </c>
      <c r="H672" t="s">
        <v>29</v>
      </c>
      <c r="I672">
        <v>2150</v>
      </c>
      <c r="J672">
        <v>2162.1999999999998</v>
      </c>
      <c r="L672" t="s">
        <v>12</v>
      </c>
      <c r="M672" t="b">
        <v>0</v>
      </c>
      <c r="O672" s="1">
        <v>46196.107164351852</v>
      </c>
    </row>
    <row r="673" spans="1:15" x14ac:dyDescent="0.25">
      <c r="A673">
        <v>1987947233</v>
      </c>
      <c r="B673" t="s">
        <v>629</v>
      </c>
      <c r="G673">
        <v>35</v>
      </c>
      <c r="H673" t="s">
        <v>36</v>
      </c>
      <c r="I673">
        <v>187.5</v>
      </c>
      <c r="J673">
        <v>188.1</v>
      </c>
      <c r="L673" t="s">
        <v>12</v>
      </c>
      <c r="M673" t="b">
        <v>0</v>
      </c>
      <c r="O673" s="1">
        <v>46196.107164351852</v>
      </c>
    </row>
    <row r="674" spans="1:15" x14ac:dyDescent="0.25">
      <c r="A674">
        <v>-824365170</v>
      </c>
      <c r="B674" t="s">
        <v>629</v>
      </c>
      <c r="G674">
        <v>44</v>
      </c>
      <c r="H674" t="s">
        <v>16</v>
      </c>
      <c r="I674">
        <v>137.5</v>
      </c>
      <c r="J674">
        <v>137.1</v>
      </c>
      <c r="L674" t="s">
        <v>12</v>
      </c>
      <c r="M674" t="b">
        <v>0</v>
      </c>
      <c r="O674" s="1">
        <v>46196.107164351852</v>
      </c>
    </row>
    <row r="675" spans="1:15" x14ac:dyDescent="0.25">
      <c r="A675">
        <v>1782165960</v>
      </c>
      <c r="B675" t="s">
        <v>631</v>
      </c>
      <c r="C675" t="s">
        <v>518</v>
      </c>
      <c r="D675" t="s">
        <v>563</v>
      </c>
      <c r="E675" t="s">
        <v>313</v>
      </c>
      <c r="F675">
        <v>50</v>
      </c>
      <c r="K675" s="1">
        <v>46196.212500000001</v>
      </c>
      <c r="M675" t="b">
        <v>1</v>
      </c>
      <c r="N675" s="1">
        <v>46198.697627314818</v>
      </c>
      <c r="O675" s="1">
        <v>46196.212500000001</v>
      </c>
    </row>
    <row r="676" spans="1:15" x14ac:dyDescent="0.25">
      <c r="A676">
        <v>199094313</v>
      </c>
      <c r="B676" t="s">
        <v>631</v>
      </c>
      <c r="H676" t="s">
        <v>29</v>
      </c>
      <c r="I676">
        <v>1000</v>
      </c>
      <c r="J676">
        <v>1006.2</v>
      </c>
      <c r="L676" t="s">
        <v>12</v>
      </c>
      <c r="M676" t="b">
        <v>0</v>
      </c>
      <c r="O676" s="1">
        <v>46196.212500000001</v>
      </c>
    </row>
    <row r="677" spans="1:15" x14ac:dyDescent="0.25">
      <c r="A677">
        <v>2030570806</v>
      </c>
      <c r="B677" t="s">
        <v>631</v>
      </c>
      <c r="G677">
        <v>58</v>
      </c>
      <c r="H677" t="s">
        <v>32</v>
      </c>
      <c r="I677">
        <v>300</v>
      </c>
      <c r="J677">
        <v>300.7</v>
      </c>
      <c r="L677" t="s">
        <v>12</v>
      </c>
      <c r="M677" t="b">
        <v>0</v>
      </c>
      <c r="O677" s="1">
        <v>46196.212500000001</v>
      </c>
    </row>
    <row r="678" spans="1:15" x14ac:dyDescent="0.25">
      <c r="A678">
        <v>1103681151</v>
      </c>
      <c r="B678" t="s">
        <v>631</v>
      </c>
      <c r="G678">
        <v>35</v>
      </c>
      <c r="H678" t="s">
        <v>36</v>
      </c>
      <c r="I678">
        <v>15</v>
      </c>
      <c r="J678">
        <v>14.5</v>
      </c>
      <c r="L678" t="s">
        <v>15</v>
      </c>
      <c r="M678" t="b">
        <v>0</v>
      </c>
      <c r="O678" s="1">
        <v>46196.212500000001</v>
      </c>
    </row>
    <row r="679" spans="1:15" x14ac:dyDescent="0.25">
      <c r="A679">
        <v>1707331156</v>
      </c>
      <c r="B679" t="s">
        <v>631</v>
      </c>
      <c r="G679">
        <v>16</v>
      </c>
      <c r="H679" t="s">
        <v>13</v>
      </c>
      <c r="I679">
        <v>28</v>
      </c>
      <c r="J679">
        <v>28.1</v>
      </c>
      <c r="L679" t="s">
        <v>12</v>
      </c>
      <c r="M679" t="b">
        <v>0</v>
      </c>
      <c r="O679" s="1">
        <v>46196.212500000001</v>
      </c>
    </row>
    <row r="680" spans="1:15" x14ac:dyDescent="0.25">
      <c r="A680">
        <v>1782175807</v>
      </c>
      <c r="B680" t="s">
        <v>632</v>
      </c>
      <c r="C680" t="s">
        <v>334</v>
      </c>
      <c r="D680" t="s">
        <v>380</v>
      </c>
      <c r="E680" t="s">
        <v>313</v>
      </c>
      <c r="F680">
        <v>50</v>
      </c>
      <c r="K680" s="1">
        <v>46196.326469907406</v>
      </c>
      <c r="M680" t="b">
        <v>1</v>
      </c>
      <c r="N680" s="1">
        <v>46198.697627314818</v>
      </c>
      <c r="O680" s="1">
        <v>46196.326469907406</v>
      </c>
    </row>
    <row r="681" spans="1:15" x14ac:dyDescent="0.25">
      <c r="A681">
        <v>-1187799788</v>
      </c>
      <c r="B681" t="s">
        <v>632</v>
      </c>
      <c r="G681">
        <v>41</v>
      </c>
      <c r="H681" t="s">
        <v>29</v>
      </c>
      <c r="I681">
        <v>372</v>
      </c>
      <c r="J681">
        <v>374.7</v>
      </c>
      <c r="L681" t="s">
        <v>12</v>
      </c>
      <c r="M681" t="b">
        <v>0</v>
      </c>
      <c r="O681" s="1">
        <v>46196.326469907406</v>
      </c>
    </row>
    <row r="682" spans="1:15" x14ac:dyDescent="0.25">
      <c r="A682">
        <v>-835545979</v>
      </c>
      <c r="B682" t="s">
        <v>632</v>
      </c>
      <c r="G682">
        <v>35</v>
      </c>
      <c r="H682" t="s">
        <v>36</v>
      </c>
      <c r="I682">
        <v>85.5</v>
      </c>
      <c r="J682">
        <v>84.8</v>
      </c>
      <c r="L682" t="s">
        <v>12</v>
      </c>
      <c r="M682" t="b">
        <v>0</v>
      </c>
      <c r="O682" s="1">
        <v>46196.326469907406</v>
      </c>
    </row>
    <row r="683" spans="1:15" x14ac:dyDescent="0.25">
      <c r="A683">
        <v>-124544670</v>
      </c>
      <c r="B683" t="s">
        <v>632</v>
      </c>
      <c r="G683">
        <v>4</v>
      </c>
      <c r="H683" t="s">
        <v>27</v>
      </c>
      <c r="I683">
        <v>54.5</v>
      </c>
      <c r="J683">
        <v>55.4</v>
      </c>
      <c r="L683" t="s">
        <v>15</v>
      </c>
      <c r="M683" t="b">
        <v>0</v>
      </c>
      <c r="O683" s="1">
        <v>46196.326469907406</v>
      </c>
    </row>
    <row r="684" spans="1:15" x14ac:dyDescent="0.25">
      <c r="A684">
        <v>1782176469</v>
      </c>
      <c r="B684" t="s">
        <v>633</v>
      </c>
      <c r="C684" t="s">
        <v>402</v>
      </c>
      <c r="D684" t="s">
        <v>403</v>
      </c>
      <c r="E684" t="s">
        <v>364</v>
      </c>
      <c r="F684">
        <v>50</v>
      </c>
      <c r="K684" s="1">
        <v>46196.334131944444</v>
      </c>
      <c r="M684" t="b">
        <v>1</v>
      </c>
      <c r="N684" s="1">
        <v>46198.697627314818</v>
      </c>
      <c r="O684" s="1">
        <v>46196.334131944444</v>
      </c>
    </row>
    <row r="685" spans="1:15" x14ac:dyDescent="0.25">
      <c r="A685">
        <v>-217655950</v>
      </c>
      <c r="B685" t="s">
        <v>633</v>
      </c>
      <c r="G685">
        <v>41</v>
      </c>
      <c r="H685" t="s">
        <v>29</v>
      </c>
      <c r="I685">
        <v>186</v>
      </c>
      <c r="J685">
        <v>184.58</v>
      </c>
      <c r="L685" t="s">
        <v>12</v>
      </c>
      <c r="M685" t="b">
        <v>0</v>
      </c>
      <c r="O685" s="1">
        <v>46196.334131944444</v>
      </c>
    </row>
    <row r="686" spans="1:15" x14ac:dyDescent="0.25">
      <c r="A686">
        <v>2121789707</v>
      </c>
      <c r="B686" t="s">
        <v>633</v>
      </c>
      <c r="G686">
        <v>59</v>
      </c>
      <c r="H686" t="s">
        <v>31</v>
      </c>
      <c r="I686">
        <v>10.7</v>
      </c>
      <c r="J686">
        <v>10.79</v>
      </c>
      <c r="L686" t="s">
        <v>12</v>
      </c>
      <c r="M686" t="b">
        <v>0</v>
      </c>
      <c r="O686" s="1">
        <v>46196.334131944444</v>
      </c>
    </row>
    <row r="687" spans="1:15" x14ac:dyDescent="0.25">
      <c r="A687">
        <v>1231372528</v>
      </c>
      <c r="B687" t="s">
        <v>633</v>
      </c>
      <c r="G687">
        <v>35</v>
      </c>
      <c r="H687" t="s">
        <v>36</v>
      </c>
      <c r="I687">
        <v>21.55</v>
      </c>
      <c r="J687">
        <v>21.69</v>
      </c>
      <c r="L687" t="s">
        <v>12</v>
      </c>
      <c r="M687" t="b">
        <v>0</v>
      </c>
      <c r="O687" s="1">
        <v>46196.334131944444</v>
      </c>
    </row>
    <row r="688" spans="1:15" x14ac:dyDescent="0.25">
      <c r="A688">
        <v>1797524017</v>
      </c>
      <c r="B688" t="s">
        <v>633</v>
      </c>
      <c r="G688">
        <v>44</v>
      </c>
      <c r="H688" t="s">
        <v>16</v>
      </c>
      <c r="I688">
        <v>7.15</v>
      </c>
      <c r="J688">
        <v>7.07</v>
      </c>
      <c r="L688" t="s">
        <v>15</v>
      </c>
      <c r="M688" t="b">
        <v>0</v>
      </c>
      <c r="O688" s="1">
        <v>46196.334131944444</v>
      </c>
    </row>
    <row r="689" spans="1:15" x14ac:dyDescent="0.25">
      <c r="A689">
        <v>1782180948</v>
      </c>
      <c r="B689" t="s">
        <v>634</v>
      </c>
      <c r="C689" t="s">
        <v>452</v>
      </c>
      <c r="D689" t="s">
        <v>453</v>
      </c>
      <c r="E689" t="s">
        <v>340</v>
      </c>
      <c r="F689">
        <v>450</v>
      </c>
      <c r="K689" s="1">
        <v>46196.385972222219</v>
      </c>
      <c r="M689" t="b">
        <v>1</v>
      </c>
      <c r="N689" s="1">
        <v>46198.697627314818</v>
      </c>
      <c r="O689" s="1">
        <v>46196.385972222219</v>
      </c>
    </row>
    <row r="690" spans="1:15" x14ac:dyDescent="0.25">
      <c r="A690">
        <v>662831813</v>
      </c>
      <c r="B690" t="s">
        <v>634</v>
      </c>
      <c r="G690">
        <v>41</v>
      </c>
      <c r="H690" t="s">
        <v>29</v>
      </c>
      <c r="I690">
        <v>3600</v>
      </c>
      <c r="J690">
        <v>3626.7</v>
      </c>
      <c r="L690" t="s">
        <v>12</v>
      </c>
      <c r="M690" t="b">
        <v>0</v>
      </c>
      <c r="O690" s="1">
        <v>46196.385972222219</v>
      </c>
    </row>
    <row r="691" spans="1:15" x14ac:dyDescent="0.25">
      <c r="A691">
        <v>1486322338</v>
      </c>
      <c r="B691" t="s">
        <v>634</v>
      </c>
      <c r="G691">
        <v>35</v>
      </c>
      <c r="H691" t="s">
        <v>36</v>
      </c>
      <c r="I691">
        <v>315</v>
      </c>
      <c r="J691">
        <v>314</v>
      </c>
      <c r="L691" t="s">
        <v>12</v>
      </c>
      <c r="M691" t="b">
        <v>0</v>
      </c>
      <c r="O691" s="1">
        <v>46196.385972222219</v>
      </c>
    </row>
    <row r="692" spans="1:15" x14ac:dyDescent="0.25">
      <c r="A692">
        <v>-1454499205</v>
      </c>
      <c r="B692" t="s">
        <v>634</v>
      </c>
      <c r="G692">
        <v>44</v>
      </c>
      <c r="H692" t="s">
        <v>16</v>
      </c>
      <c r="I692">
        <v>63</v>
      </c>
      <c r="J692">
        <v>62.3</v>
      </c>
      <c r="L692" t="s">
        <v>15</v>
      </c>
      <c r="M692" t="b">
        <v>0</v>
      </c>
      <c r="O692" s="1">
        <v>46196.385972222219</v>
      </c>
    </row>
    <row r="693" spans="1:15" x14ac:dyDescent="0.25">
      <c r="A693">
        <v>1782181575</v>
      </c>
      <c r="B693" t="s">
        <v>635</v>
      </c>
      <c r="C693" t="s">
        <v>636</v>
      </c>
      <c r="D693" t="s">
        <v>369</v>
      </c>
      <c r="E693" t="s">
        <v>313</v>
      </c>
      <c r="F693">
        <v>250</v>
      </c>
      <c r="K693" s="1">
        <v>46196.393229166664</v>
      </c>
      <c r="M693" t="b">
        <v>1</v>
      </c>
      <c r="N693" s="1">
        <v>46198.697627314818</v>
      </c>
      <c r="O693" s="1">
        <v>46196.393229166664</v>
      </c>
    </row>
    <row r="694" spans="1:15" x14ac:dyDescent="0.25">
      <c r="A694">
        <v>-948583684</v>
      </c>
      <c r="B694" t="s">
        <v>635</v>
      </c>
      <c r="G694">
        <v>41</v>
      </c>
      <c r="H694" t="s">
        <v>29</v>
      </c>
      <c r="I694">
        <v>2125</v>
      </c>
      <c r="J694">
        <v>2137</v>
      </c>
      <c r="L694" t="s">
        <v>12</v>
      </c>
      <c r="M694" t="b">
        <v>0</v>
      </c>
      <c r="O694" s="1">
        <v>46196.393229166664</v>
      </c>
    </row>
    <row r="695" spans="1:15" x14ac:dyDescent="0.25">
      <c r="A695">
        <v>-1344164275</v>
      </c>
      <c r="B695" t="s">
        <v>635</v>
      </c>
      <c r="G695">
        <v>52</v>
      </c>
      <c r="H695" t="s">
        <v>128</v>
      </c>
      <c r="I695">
        <v>555</v>
      </c>
      <c r="J695">
        <v>556.70000000000005</v>
      </c>
      <c r="L695" t="s">
        <v>12</v>
      </c>
      <c r="M695" t="b">
        <v>0</v>
      </c>
      <c r="O695" s="1">
        <v>46196.393229166664</v>
      </c>
    </row>
    <row r="696" spans="1:15" x14ac:dyDescent="0.25">
      <c r="A696">
        <v>2139410826</v>
      </c>
      <c r="B696" t="s">
        <v>635</v>
      </c>
      <c r="G696">
        <v>47</v>
      </c>
      <c r="H696" t="s">
        <v>21</v>
      </c>
      <c r="I696">
        <v>547.5</v>
      </c>
      <c r="J696">
        <v>555.9</v>
      </c>
      <c r="L696" t="s">
        <v>15</v>
      </c>
      <c r="M696" t="b">
        <v>0</v>
      </c>
      <c r="O696" s="1">
        <v>46196.393229166664</v>
      </c>
    </row>
    <row r="697" spans="1:15" x14ac:dyDescent="0.25">
      <c r="A697">
        <v>-283455165</v>
      </c>
      <c r="B697" t="s">
        <v>635</v>
      </c>
      <c r="G697">
        <v>26</v>
      </c>
      <c r="H697" t="s">
        <v>186</v>
      </c>
      <c r="I697">
        <v>1625</v>
      </c>
      <c r="J697">
        <v>1618.8</v>
      </c>
      <c r="L697" t="s">
        <v>12</v>
      </c>
      <c r="M697" t="b">
        <v>0</v>
      </c>
      <c r="O697" s="1">
        <v>46196.393229166664</v>
      </c>
    </row>
    <row r="698" spans="1:15" x14ac:dyDescent="0.25">
      <c r="A698">
        <v>1782183606</v>
      </c>
      <c r="B698" t="s">
        <v>637</v>
      </c>
      <c r="C698" t="s">
        <v>579</v>
      </c>
      <c r="D698" t="s">
        <v>580</v>
      </c>
      <c r="E698" t="s">
        <v>336</v>
      </c>
      <c r="F698">
        <v>15</v>
      </c>
      <c r="K698" s="1">
        <v>46196.41673611111</v>
      </c>
      <c r="M698" t="b">
        <v>1</v>
      </c>
      <c r="N698" s="1">
        <v>46198.697627314818</v>
      </c>
      <c r="O698" s="1">
        <v>46196.41673611111</v>
      </c>
    </row>
    <row r="699" spans="1:15" x14ac:dyDescent="0.25">
      <c r="A699">
        <v>1599595007</v>
      </c>
      <c r="B699" t="s">
        <v>637</v>
      </c>
      <c r="G699">
        <v>41</v>
      </c>
      <c r="H699" t="s">
        <v>29</v>
      </c>
      <c r="I699">
        <v>140</v>
      </c>
      <c r="J699">
        <v>139.9</v>
      </c>
      <c r="L699" t="s">
        <v>12</v>
      </c>
      <c r="M699" t="b">
        <v>0</v>
      </c>
      <c r="O699" s="1">
        <v>46196.41673611111</v>
      </c>
    </row>
    <row r="700" spans="1:15" x14ac:dyDescent="0.25">
      <c r="A700">
        <v>2084426708</v>
      </c>
      <c r="B700" t="s">
        <v>637</v>
      </c>
      <c r="G700">
        <v>58</v>
      </c>
      <c r="H700" t="s">
        <v>32</v>
      </c>
      <c r="I700">
        <v>110</v>
      </c>
      <c r="J700">
        <v>110.6</v>
      </c>
      <c r="L700" t="s">
        <v>12</v>
      </c>
      <c r="M700" t="b">
        <v>0</v>
      </c>
      <c r="O700" s="1">
        <v>46196.41673611111</v>
      </c>
    </row>
    <row r="701" spans="1:15" x14ac:dyDescent="0.25">
      <c r="A701">
        <v>875476037</v>
      </c>
      <c r="B701" t="s">
        <v>637</v>
      </c>
      <c r="G701">
        <v>35</v>
      </c>
      <c r="H701" t="s">
        <v>36</v>
      </c>
      <c r="I701">
        <v>10</v>
      </c>
      <c r="J701">
        <v>10</v>
      </c>
      <c r="L701" t="s">
        <v>12</v>
      </c>
      <c r="M701" t="b">
        <v>0</v>
      </c>
      <c r="O701" s="1">
        <v>46196.41673611111</v>
      </c>
    </row>
    <row r="702" spans="1:15" x14ac:dyDescent="0.25">
      <c r="A702">
        <v>-1704219102</v>
      </c>
      <c r="B702" t="s">
        <v>637</v>
      </c>
      <c r="G702">
        <v>44</v>
      </c>
      <c r="H702" t="s">
        <v>16</v>
      </c>
      <c r="I702">
        <v>16</v>
      </c>
      <c r="J702">
        <v>16.100000000000001</v>
      </c>
      <c r="L702" t="s">
        <v>12</v>
      </c>
      <c r="M702" t="b">
        <v>0</v>
      </c>
      <c r="O702" s="1">
        <v>46196.41673611111</v>
      </c>
    </row>
    <row r="703" spans="1:15" x14ac:dyDescent="0.25">
      <c r="A703">
        <v>1782187732</v>
      </c>
      <c r="B703" t="s">
        <v>638</v>
      </c>
      <c r="C703" t="s">
        <v>402</v>
      </c>
      <c r="D703" t="s">
        <v>403</v>
      </c>
      <c r="E703" t="s">
        <v>364</v>
      </c>
      <c r="F703">
        <v>50</v>
      </c>
      <c r="K703" s="1">
        <v>46196.464490740742</v>
      </c>
      <c r="M703" t="b">
        <v>1</v>
      </c>
      <c r="N703" s="1">
        <v>46198.697627314818</v>
      </c>
      <c r="O703" s="1">
        <v>46196.464490740742</v>
      </c>
    </row>
    <row r="704" spans="1:15" x14ac:dyDescent="0.25">
      <c r="A704">
        <v>1599449925</v>
      </c>
      <c r="B704" t="s">
        <v>638</v>
      </c>
      <c r="G704">
        <v>41</v>
      </c>
      <c r="H704" t="s">
        <v>29</v>
      </c>
      <c r="I704">
        <v>220</v>
      </c>
      <c r="J704">
        <v>221.4</v>
      </c>
      <c r="L704" t="s">
        <v>12</v>
      </c>
      <c r="M704" t="b">
        <v>0</v>
      </c>
      <c r="O704" s="1">
        <v>46196.464490740742</v>
      </c>
    </row>
    <row r="705" spans="1:15" x14ac:dyDescent="0.25">
      <c r="A705">
        <v>-231794398</v>
      </c>
      <c r="B705" t="s">
        <v>638</v>
      </c>
      <c r="G705">
        <v>59</v>
      </c>
      <c r="H705" t="s">
        <v>31</v>
      </c>
      <c r="I705">
        <v>20</v>
      </c>
      <c r="J705">
        <v>20.100000000000001</v>
      </c>
      <c r="L705" t="s">
        <v>12</v>
      </c>
      <c r="M705" t="b">
        <v>0</v>
      </c>
      <c r="O705" s="1">
        <v>46196.464490740742</v>
      </c>
    </row>
    <row r="706" spans="1:15" x14ac:dyDescent="0.25">
      <c r="A706">
        <v>22804219</v>
      </c>
      <c r="B706" t="s">
        <v>638</v>
      </c>
      <c r="G706">
        <v>35</v>
      </c>
      <c r="H706" t="s">
        <v>36</v>
      </c>
      <c r="I706">
        <v>21</v>
      </c>
      <c r="J706">
        <v>21.1</v>
      </c>
      <c r="L706" t="s">
        <v>12</v>
      </c>
      <c r="M706" t="b">
        <v>0</v>
      </c>
      <c r="O706" s="1">
        <v>46196.464490740742</v>
      </c>
    </row>
    <row r="707" spans="1:15" x14ac:dyDescent="0.25">
      <c r="A707">
        <v>-187700192</v>
      </c>
      <c r="B707" t="s">
        <v>638</v>
      </c>
      <c r="G707">
        <v>44</v>
      </c>
      <c r="H707" t="s">
        <v>16</v>
      </c>
      <c r="I707">
        <v>10</v>
      </c>
      <c r="J707">
        <v>9.6</v>
      </c>
      <c r="L707" t="s">
        <v>15</v>
      </c>
      <c r="M707" t="b">
        <v>0</v>
      </c>
      <c r="O707" s="1">
        <v>46196.464490740742</v>
      </c>
    </row>
    <row r="708" spans="1:15" x14ac:dyDescent="0.25">
      <c r="A708">
        <v>1782188438</v>
      </c>
      <c r="B708" t="s">
        <v>639</v>
      </c>
      <c r="C708" t="s">
        <v>525</v>
      </c>
      <c r="D708" t="s">
        <v>526</v>
      </c>
      <c r="E708" t="s">
        <v>336</v>
      </c>
      <c r="F708">
        <v>15</v>
      </c>
      <c r="K708" s="1">
        <v>46196.472662037035</v>
      </c>
      <c r="M708" t="b">
        <v>1</v>
      </c>
      <c r="N708" s="1">
        <v>46198.697627314818</v>
      </c>
      <c r="O708" s="1">
        <v>46196.472662037035</v>
      </c>
    </row>
    <row r="709" spans="1:15" x14ac:dyDescent="0.25">
      <c r="A709">
        <v>-934251681</v>
      </c>
      <c r="B709" t="s">
        <v>639</v>
      </c>
      <c r="G709">
        <v>41</v>
      </c>
      <c r="H709" t="s">
        <v>29</v>
      </c>
      <c r="I709">
        <v>400</v>
      </c>
      <c r="J709">
        <v>399.7</v>
      </c>
      <c r="L709" t="s">
        <v>12</v>
      </c>
      <c r="M709" t="b">
        <v>0</v>
      </c>
      <c r="O709" s="1">
        <v>46196.472662037035</v>
      </c>
    </row>
    <row r="710" spans="1:15" x14ac:dyDescent="0.25">
      <c r="A710">
        <v>-1165254220</v>
      </c>
      <c r="B710" t="s">
        <v>639</v>
      </c>
      <c r="G710">
        <v>4</v>
      </c>
      <c r="H710" t="s">
        <v>27</v>
      </c>
      <c r="I710">
        <v>120</v>
      </c>
      <c r="J710">
        <v>120.3</v>
      </c>
      <c r="L710" t="s">
        <v>12</v>
      </c>
      <c r="M710" t="b">
        <v>0</v>
      </c>
      <c r="O710" s="1">
        <v>46196.472662037035</v>
      </c>
    </row>
    <row r="711" spans="1:15" x14ac:dyDescent="0.25">
      <c r="A711">
        <v>1782194278</v>
      </c>
      <c r="B711" t="s">
        <v>640</v>
      </c>
      <c r="C711" t="s">
        <v>345</v>
      </c>
      <c r="D711" t="s">
        <v>371</v>
      </c>
      <c r="E711" t="s">
        <v>340</v>
      </c>
      <c r="F711">
        <v>50</v>
      </c>
      <c r="K711" s="1">
        <v>46196.540254629632</v>
      </c>
      <c r="M711" t="b">
        <v>1</v>
      </c>
      <c r="N711" s="1">
        <v>46198.697627314818</v>
      </c>
      <c r="O711" s="1">
        <v>46196.540254629632</v>
      </c>
    </row>
    <row r="712" spans="1:15" x14ac:dyDescent="0.25">
      <c r="A712">
        <v>-2133633553</v>
      </c>
      <c r="B712" t="s">
        <v>640</v>
      </c>
      <c r="G712">
        <v>41</v>
      </c>
      <c r="H712" t="s">
        <v>29</v>
      </c>
      <c r="I712">
        <v>266.3</v>
      </c>
      <c r="J712">
        <v>265.5</v>
      </c>
      <c r="L712" t="s">
        <v>12</v>
      </c>
      <c r="M712" t="b">
        <v>0</v>
      </c>
      <c r="O712" s="1">
        <v>46196.540254629632</v>
      </c>
    </row>
    <row r="713" spans="1:15" x14ac:dyDescent="0.25">
      <c r="A713">
        <v>-1793403644</v>
      </c>
      <c r="B713" t="s">
        <v>640</v>
      </c>
      <c r="G713">
        <v>35</v>
      </c>
      <c r="H713" t="s">
        <v>36</v>
      </c>
      <c r="I713">
        <v>62.4</v>
      </c>
      <c r="J713">
        <v>61.9</v>
      </c>
      <c r="L713" t="s">
        <v>12</v>
      </c>
      <c r="M713" t="b">
        <v>0</v>
      </c>
      <c r="O713" s="1">
        <v>46196.540254629632</v>
      </c>
    </row>
    <row r="714" spans="1:15" x14ac:dyDescent="0.25">
      <c r="A714">
        <v>2115570101</v>
      </c>
      <c r="B714" t="s">
        <v>640</v>
      </c>
      <c r="G714">
        <v>44</v>
      </c>
      <c r="H714" t="s">
        <v>16</v>
      </c>
      <c r="I714">
        <v>14.2</v>
      </c>
      <c r="J714">
        <v>14.3</v>
      </c>
      <c r="L714" t="s">
        <v>12</v>
      </c>
      <c r="M714" t="b">
        <v>0</v>
      </c>
      <c r="O714" s="1">
        <v>46196.540254629632</v>
      </c>
    </row>
    <row r="715" spans="1:15" x14ac:dyDescent="0.25">
      <c r="A715">
        <v>1782196217</v>
      </c>
      <c r="B715" t="s">
        <v>641</v>
      </c>
      <c r="C715" t="s">
        <v>615</v>
      </c>
      <c r="D715" t="s">
        <v>616</v>
      </c>
      <c r="E715" t="s">
        <v>313</v>
      </c>
      <c r="F715">
        <v>450</v>
      </c>
      <c r="K715" s="1">
        <v>46196.562685185185</v>
      </c>
      <c r="M715" t="b">
        <v>1</v>
      </c>
      <c r="N715" s="1">
        <v>46198.697627314818</v>
      </c>
      <c r="O715" s="1">
        <v>46196.562685185185</v>
      </c>
    </row>
    <row r="716" spans="1:15" x14ac:dyDescent="0.25">
      <c r="A716">
        <v>-849167162</v>
      </c>
      <c r="B716" t="s">
        <v>641</v>
      </c>
      <c r="G716">
        <v>41</v>
      </c>
      <c r="H716" t="s">
        <v>29</v>
      </c>
      <c r="I716">
        <v>7875</v>
      </c>
      <c r="J716">
        <v>7818</v>
      </c>
      <c r="L716" t="s">
        <v>12</v>
      </c>
      <c r="M716" t="b">
        <v>0</v>
      </c>
      <c r="O716" s="1">
        <v>46196.562685185185</v>
      </c>
    </row>
    <row r="717" spans="1:15" x14ac:dyDescent="0.25">
      <c r="A717">
        <v>-1552608561</v>
      </c>
      <c r="B717" t="s">
        <v>641</v>
      </c>
      <c r="G717">
        <v>35</v>
      </c>
      <c r="H717" t="s">
        <v>36</v>
      </c>
      <c r="I717">
        <v>252</v>
      </c>
      <c r="J717">
        <v>253.4</v>
      </c>
      <c r="L717" t="s">
        <v>12</v>
      </c>
      <c r="M717" t="b">
        <v>0</v>
      </c>
      <c r="O717" s="1">
        <v>46196.562685185185</v>
      </c>
    </row>
    <row r="718" spans="1:15" x14ac:dyDescent="0.25">
      <c r="A718">
        <v>-751155100</v>
      </c>
      <c r="B718" t="s">
        <v>641</v>
      </c>
      <c r="G718">
        <v>44</v>
      </c>
      <c r="H718" t="s">
        <v>16</v>
      </c>
      <c r="I718">
        <v>342</v>
      </c>
      <c r="J718">
        <v>345.4</v>
      </c>
      <c r="L718" t="s">
        <v>12</v>
      </c>
      <c r="M718" t="b">
        <v>0</v>
      </c>
      <c r="O718" s="1">
        <v>46196.562685185185</v>
      </c>
    </row>
    <row r="719" spans="1:15" x14ac:dyDescent="0.25">
      <c r="A719">
        <v>1782197452</v>
      </c>
      <c r="B719" t="s">
        <v>642</v>
      </c>
      <c r="C719" t="s">
        <v>579</v>
      </c>
      <c r="D719" t="s">
        <v>580</v>
      </c>
      <c r="E719" t="s">
        <v>336</v>
      </c>
      <c r="F719">
        <v>15</v>
      </c>
      <c r="K719" s="1">
        <v>46196.576990740738</v>
      </c>
      <c r="M719" t="b">
        <v>1</v>
      </c>
      <c r="N719" s="1">
        <v>46198.697627314818</v>
      </c>
      <c r="O719" s="1">
        <v>46196.576990740738</v>
      </c>
    </row>
    <row r="720" spans="1:15" x14ac:dyDescent="0.25">
      <c r="A720">
        <v>662251485</v>
      </c>
      <c r="B720" t="s">
        <v>642</v>
      </c>
      <c r="G720">
        <v>41</v>
      </c>
      <c r="H720" t="s">
        <v>29</v>
      </c>
      <c r="I720">
        <v>124.6</v>
      </c>
      <c r="L720" t="s">
        <v>15</v>
      </c>
      <c r="M720" t="b">
        <v>0</v>
      </c>
      <c r="O720" s="1">
        <v>46196.576990740738</v>
      </c>
    </row>
    <row r="721" spans="1:15" x14ac:dyDescent="0.25">
      <c r="A721">
        <v>811372506</v>
      </c>
      <c r="B721" t="s">
        <v>642</v>
      </c>
      <c r="G721">
        <v>58</v>
      </c>
      <c r="H721" t="s">
        <v>32</v>
      </c>
      <c r="I721">
        <v>97.9</v>
      </c>
      <c r="L721" t="s">
        <v>15</v>
      </c>
      <c r="M721" t="b">
        <v>0</v>
      </c>
      <c r="O721" s="1">
        <v>46196.576990740738</v>
      </c>
    </row>
    <row r="722" spans="1:15" x14ac:dyDescent="0.25">
      <c r="A722">
        <v>-570219181</v>
      </c>
      <c r="B722" t="s">
        <v>642</v>
      </c>
      <c r="G722">
        <v>35</v>
      </c>
      <c r="H722" t="s">
        <v>36</v>
      </c>
      <c r="I722">
        <v>8.9</v>
      </c>
      <c r="L722" t="s">
        <v>15</v>
      </c>
      <c r="M722" t="b">
        <v>0</v>
      </c>
      <c r="O722" s="1">
        <v>46196.576990740738</v>
      </c>
    </row>
    <row r="723" spans="1:15" x14ac:dyDescent="0.25">
      <c r="A723">
        <v>-808050280</v>
      </c>
      <c r="B723" t="s">
        <v>642</v>
      </c>
      <c r="G723">
        <v>44</v>
      </c>
      <c r="H723" t="s">
        <v>16</v>
      </c>
      <c r="I723">
        <v>13.4</v>
      </c>
      <c r="L723" t="s">
        <v>15</v>
      </c>
      <c r="M723" t="b">
        <v>0</v>
      </c>
      <c r="O723" s="1">
        <v>46196.576990740738</v>
      </c>
    </row>
    <row r="724" spans="1:15" x14ac:dyDescent="0.25">
      <c r="A724">
        <v>1782197643</v>
      </c>
      <c r="B724" t="s">
        <v>643</v>
      </c>
      <c r="C724" t="s">
        <v>579</v>
      </c>
      <c r="D724" t="s">
        <v>580</v>
      </c>
      <c r="E724" t="s">
        <v>336</v>
      </c>
      <c r="F724">
        <v>15</v>
      </c>
      <c r="K724" s="1">
        <v>46196.579201388886</v>
      </c>
      <c r="M724" t="b">
        <v>1</v>
      </c>
      <c r="N724" s="1">
        <v>46198.697627314818</v>
      </c>
      <c r="O724" s="1">
        <v>46196.579201388886</v>
      </c>
    </row>
    <row r="725" spans="1:15" x14ac:dyDescent="0.25">
      <c r="A725">
        <v>-588979344</v>
      </c>
      <c r="B725" t="s">
        <v>643</v>
      </c>
      <c r="G725">
        <v>41</v>
      </c>
      <c r="H725" t="s">
        <v>29</v>
      </c>
      <c r="I725">
        <v>124.6</v>
      </c>
      <c r="J725">
        <v>124.4</v>
      </c>
      <c r="L725" t="s">
        <v>12</v>
      </c>
      <c r="M725" t="b">
        <v>0</v>
      </c>
      <c r="O725" s="1">
        <v>46196.579201388886</v>
      </c>
    </row>
    <row r="726" spans="1:15" x14ac:dyDescent="0.25">
      <c r="A726">
        <v>613587633</v>
      </c>
      <c r="B726" t="s">
        <v>643</v>
      </c>
      <c r="G726">
        <v>58</v>
      </c>
      <c r="H726" t="s">
        <v>32</v>
      </c>
      <c r="I726">
        <v>97.9</v>
      </c>
      <c r="J726">
        <v>98.2</v>
      </c>
      <c r="L726" t="s">
        <v>12</v>
      </c>
      <c r="M726" t="b">
        <v>0</v>
      </c>
      <c r="O726" s="1">
        <v>46196.579201388886</v>
      </c>
    </row>
    <row r="727" spans="1:15" x14ac:dyDescent="0.25">
      <c r="A727">
        <v>469776158</v>
      </c>
      <c r="B727" t="s">
        <v>643</v>
      </c>
      <c r="G727">
        <v>35</v>
      </c>
      <c r="H727" t="s">
        <v>36</v>
      </c>
      <c r="I727">
        <v>8.9</v>
      </c>
      <c r="J727">
        <v>8.9</v>
      </c>
      <c r="L727" t="s">
        <v>12</v>
      </c>
      <c r="M727" t="b">
        <v>0</v>
      </c>
      <c r="O727" s="1">
        <v>46196.579201388886</v>
      </c>
    </row>
    <row r="728" spans="1:15" x14ac:dyDescent="0.25">
      <c r="A728">
        <v>-821124025</v>
      </c>
      <c r="B728" t="s">
        <v>643</v>
      </c>
      <c r="G728">
        <v>44</v>
      </c>
      <c r="H728" t="s">
        <v>16</v>
      </c>
      <c r="I728">
        <v>13.4</v>
      </c>
      <c r="J728">
        <v>13.3</v>
      </c>
      <c r="L728" t="s">
        <v>12</v>
      </c>
      <c r="M728" t="b">
        <v>0</v>
      </c>
      <c r="O728" s="1">
        <v>46196.579201388886</v>
      </c>
    </row>
    <row r="729" spans="1:15" x14ac:dyDescent="0.25">
      <c r="A729">
        <v>1782198562</v>
      </c>
      <c r="B729" t="s">
        <v>644</v>
      </c>
      <c r="C729" t="s">
        <v>618</v>
      </c>
      <c r="D729" t="s">
        <v>619</v>
      </c>
      <c r="E729" t="s">
        <v>340</v>
      </c>
      <c r="F729">
        <v>120</v>
      </c>
      <c r="K729" s="1">
        <v>46196.589837962965</v>
      </c>
      <c r="M729" t="b">
        <v>1</v>
      </c>
      <c r="N729" s="1">
        <v>46198.697627314818</v>
      </c>
      <c r="O729" s="1">
        <v>46196.589837962965</v>
      </c>
    </row>
    <row r="730" spans="1:15" x14ac:dyDescent="0.25">
      <c r="A730">
        <v>316616443</v>
      </c>
      <c r="B730" t="s">
        <v>644</v>
      </c>
      <c r="G730">
        <v>41</v>
      </c>
      <c r="H730" t="s">
        <v>29</v>
      </c>
      <c r="I730">
        <v>1524</v>
      </c>
      <c r="J730">
        <v>1528.5</v>
      </c>
      <c r="L730" t="s">
        <v>12</v>
      </c>
      <c r="M730" t="b">
        <v>0</v>
      </c>
      <c r="O730" s="1">
        <v>46196.589837962965</v>
      </c>
    </row>
    <row r="731" spans="1:15" x14ac:dyDescent="0.25">
      <c r="A731">
        <v>-315571168</v>
      </c>
      <c r="B731" t="s">
        <v>644</v>
      </c>
      <c r="G731">
        <v>35</v>
      </c>
      <c r="H731" t="s">
        <v>36</v>
      </c>
      <c r="I731">
        <v>72</v>
      </c>
      <c r="J731">
        <v>71.400000000000006</v>
      </c>
      <c r="L731" t="s">
        <v>12</v>
      </c>
      <c r="M731" t="b">
        <v>0</v>
      </c>
      <c r="O731" s="1">
        <v>46196.589837962965</v>
      </c>
    </row>
    <row r="732" spans="1:15" x14ac:dyDescent="0.25">
      <c r="A732">
        <v>-372819551</v>
      </c>
      <c r="B732" t="s">
        <v>644</v>
      </c>
      <c r="G732">
        <v>44</v>
      </c>
      <c r="H732" t="s">
        <v>16</v>
      </c>
      <c r="I732">
        <v>86.4</v>
      </c>
      <c r="J732">
        <v>86.5</v>
      </c>
      <c r="L732" t="s">
        <v>12</v>
      </c>
      <c r="M732" t="b">
        <v>0</v>
      </c>
      <c r="O732" s="1">
        <v>46196.589837962965</v>
      </c>
    </row>
    <row r="733" spans="1:15" x14ac:dyDescent="0.25">
      <c r="A733">
        <v>1782198888</v>
      </c>
      <c r="B733" t="s">
        <v>645</v>
      </c>
      <c r="C733" t="s">
        <v>376</v>
      </c>
      <c r="D733" t="s">
        <v>377</v>
      </c>
      <c r="E733" t="s">
        <v>340</v>
      </c>
      <c r="F733">
        <v>450</v>
      </c>
      <c r="K733" s="1">
        <v>46196.593611111108</v>
      </c>
      <c r="M733" t="b">
        <v>1</v>
      </c>
      <c r="N733" s="1">
        <v>46198.697627314818</v>
      </c>
      <c r="O733" s="1">
        <v>46196.593611111108</v>
      </c>
    </row>
    <row r="734" spans="1:15" x14ac:dyDescent="0.25">
      <c r="A734">
        <v>-2021372855</v>
      </c>
      <c r="B734" t="s">
        <v>645</v>
      </c>
      <c r="G734">
        <v>41</v>
      </c>
      <c r="H734" t="s">
        <v>29</v>
      </c>
      <c r="I734">
        <v>972</v>
      </c>
      <c r="J734">
        <v>966</v>
      </c>
      <c r="L734" t="s">
        <v>12</v>
      </c>
      <c r="M734" t="b">
        <v>0</v>
      </c>
      <c r="O734" s="1">
        <v>46196.593611111108</v>
      </c>
    </row>
    <row r="735" spans="1:15" x14ac:dyDescent="0.25">
      <c r="A735">
        <v>336264918</v>
      </c>
      <c r="B735" t="s">
        <v>645</v>
      </c>
      <c r="G735">
        <v>58</v>
      </c>
      <c r="H735" t="s">
        <v>32</v>
      </c>
      <c r="I735">
        <v>1993.5</v>
      </c>
      <c r="J735">
        <v>1995.5</v>
      </c>
      <c r="L735" t="s">
        <v>12</v>
      </c>
      <c r="M735" t="b">
        <v>0</v>
      </c>
      <c r="O735" s="1">
        <v>46196.593611111108</v>
      </c>
    </row>
    <row r="736" spans="1:15" x14ac:dyDescent="0.25">
      <c r="A736">
        <v>1851985823</v>
      </c>
      <c r="B736" t="s">
        <v>645</v>
      </c>
      <c r="G736">
        <v>35</v>
      </c>
      <c r="H736" t="s">
        <v>36</v>
      </c>
      <c r="I736">
        <v>339.3</v>
      </c>
      <c r="J736">
        <v>342.1</v>
      </c>
      <c r="L736" t="s">
        <v>12</v>
      </c>
      <c r="M736" t="b">
        <v>0</v>
      </c>
      <c r="O736" s="1">
        <v>46196.593611111108</v>
      </c>
    </row>
    <row r="737" spans="1:15" x14ac:dyDescent="0.25">
      <c r="A737">
        <v>1949473012</v>
      </c>
      <c r="B737" t="s">
        <v>645</v>
      </c>
      <c r="G737">
        <v>16</v>
      </c>
      <c r="H737" t="s">
        <v>13</v>
      </c>
      <c r="I737">
        <v>137.69999999999999</v>
      </c>
      <c r="J737">
        <v>137.19999999999999</v>
      </c>
      <c r="L737" t="s">
        <v>12</v>
      </c>
      <c r="M737" t="b">
        <v>0</v>
      </c>
      <c r="O737" s="1">
        <v>46196.593611111108</v>
      </c>
    </row>
    <row r="738" spans="1:15" x14ac:dyDescent="0.25">
      <c r="A738">
        <v>1782200867</v>
      </c>
      <c r="B738" t="s">
        <v>646</v>
      </c>
      <c r="C738" t="s">
        <v>379</v>
      </c>
      <c r="D738" t="s">
        <v>647</v>
      </c>
      <c r="E738" t="s">
        <v>313</v>
      </c>
      <c r="F738">
        <v>450</v>
      </c>
      <c r="K738" s="1">
        <v>46196.616516203707</v>
      </c>
      <c r="M738" t="b">
        <v>1</v>
      </c>
      <c r="N738" s="1">
        <v>46198.697627314818</v>
      </c>
      <c r="O738" s="1">
        <v>46196.616516203707</v>
      </c>
    </row>
    <row r="739" spans="1:15" x14ac:dyDescent="0.25">
      <c r="A739">
        <v>372746792</v>
      </c>
      <c r="B739" t="s">
        <v>646</v>
      </c>
      <c r="G739">
        <v>41</v>
      </c>
      <c r="H739" t="s">
        <v>29</v>
      </c>
      <c r="I739">
        <v>2250</v>
      </c>
      <c r="J739">
        <v>2251.9</v>
      </c>
      <c r="L739" t="s">
        <v>12</v>
      </c>
      <c r="M739" t="b">
        <v>0</v>
      </c>
      <c r="O739" s="1">
        <v>46196.616516203707</v>
      </c>
    </row>
    <row r="740" spans="1:15" x14ac:dyDescent="0.25">
      <c r="A740">
        <v>1782209285</v>
      </c>
      <c r="B740" t="s">
        <v>648</v>
      </c>
      <c r="C740" t="s">
        <v>345</v>
      </c>
      <c r="D740" t="s">
        <v>371</v>
      </c>
      <c r="E740" t="s">
        <v>340</v>
      </c>
      <c r="F740">
        <v>50</v>
      </c>
      <c r="K740" s="1">
        <v>46196.713935185187</v>
      </c>
      <c r="M740" t="b">
        <v>1</v>
      </c>
      <c r="N740" s="1">
        <v>46198.697627314818</v>
      </c>
      <c r="O740" s="1">
        <v>46196.713935185187</v>
      </c>
    </row>
    <row r="741" spans="1:15" x14ac:dyDescent="0.25">
      <c r="A741">
        <v>-2109178398</v>
      </c>
      <c r="B741" t="s">
        <v>648</v>
      </c>
      <c r="G741">
        <v>41</v>
      </c>
      <c r="H741" t="s">
        <v>29</v>
      </c>
      <c r="I741">
        <v>230</v>
      </c>
      <c r="J741">
        <v>229.5</v>
      </c>
      <c r="L741" t="s">
        <v>12</v>
      </c>
      <c r="M741" t="b">
        <v>0</v>
      </c>
      <c r="O741" s="1">
        <v>46196.713935185187</v>
      </c>
    </row>
    <row r="742" spans="1:15" x14ac:dyDescent="0.25">
      <c r="A742">
        <v>-1772671813</v>
      </c>
      <c r="B742" t="s">
        <v>648</v>
      </c>
      <c r="G742">
        <v>35</v>
      </c>
      <c r="H742" t="s">
        <v>36</v>
      </c>
      <c r="I742">
        <v>82.4</v>
      </c>
      <c r="J742">
        <v>82.4</v>
      </c>
      <c r="L742" t="s">
        <v>12</v>
      </c>
      <c r="M742" t="b">
        <v>0</v>
      </c>
      <c r="O742" s="1">
        <v>46196.713935185187</v>
      </c>
    </row>
    <row r="743" spans="1:15" x14ac:dyDescent="0.25">
      <c r="A743">
        <v>-2025660704</v>
      </c>
      <c r="B743" t="s">
        <v>648</v>
      </c>
      <c r="G743">
        <v>44</v>
      </c>
      <c r="H743" t="s">
        <v>16</v>
      </c>
      <c r="I743">
        <v>14.5</v>
      </c>
      <c r="J743">
        <v>12.8</v>
      </c>
      <c r="L743" t="s">
        <v>15</v>
      </c>
      <c r="M743" t="b">
        <v>0</v>
      </c>
      <c r="O743" s="1">
        <v>46196.713935185187</v>
      </c>
    </row>
    <row r="744" spans="1:15" x14ac:dyDescent="0.25">
      <c r="A744">
        <v>1782213120</v>
      </c>
      <c r="B744" t="s">
        <v>649</v>
      </c>
      <c r="C744" t="s">
        <v>650</v>
      </c>
      <c r="D744" t="s">
        <v>383</v>
      </c>
      <c r="E744" t="s">
        <v>336</v>
      </c>
      <c r="F744">
        <v>50</v>
      </c>
      <c r="K744" s="1">
        <v>46196.758333333331</v>
      </c>
      <c r="M744" t="b">
        <v>1</v>
      </c>
      <c r="N744" s="1">
        <v>46198.697627314818</v>
      </c>
      <c r="O744" s="1">
        <v>46196.758333333331</v>
      </c>
    </row>
    <row r="745" spans="1:15" x14ac:dyDescent="0.25">
      <c r="A745">
        <v>-1484742143</v>
      </c>
      <c r="B745" t="s">
        <v>649</v>
      </c>
      <c r="G745">
        <v>58</v>
      </c>
      <c r="H745" t="s">
        <v>32</v>
      </c>
      <c r="I745">
        <v>900</v>
      </c>
      <c r="J745">
        <v>901.4</v>
      </c>
      <c r="L745" t="s">
        <v>12</v>
      </c>
      <c r="M745" t="b">
        <v>0</v>
      </c>
      <c r="O745" s="1">
        <v>46196.758333333331</v>
      </c>
    </row>
    <row r="746" spans="1:15" x14ac:dyDescent="0.25">
      <c r="A746">
        <v>1047093294</v>
      </c>
      <c r="B746" t="s">
        <v>649</v>
      </c>
      <c r="G746">
        <v>41</v>
      </c>
      <c r="H746" t="s">
        <v>29</v>
      </c>
      <c r="I746">
        <v>288</v>
      </c>
      <c r="J746">
        <v>285.2</v>
      </c>
      <c r="L746" t="s">
        <v>12</v>
      </c>
      <c r="M746" t="b">
        <v>0</v>
      </c>
      <c r="O746" s="1">
        <v>46196.758333333331</v>
      </c>
    </row>
    <row r="747" spans="1:15" x14ac:dyDescent="0.25">
      <c r="A747">
        <v>1248803863</v>
      </c>
      <c r="B747" t="s">
        <v>649</v>
      </c>
      <c r="G747">
        <v>35</v>
      </c>
      <c r="H747" t="s">
        <v>36</v>
      </c>
      <c r="I747">
        <v>273.5</v>
      </c>
      <c r="J747">
        <v>272.8</v>
      </c>
      <c r="L747" t="s">
        <v>12</v>
      </c>
      <c r="M747" t="b">
        <v>0</v>
      </c>
      <c r="O747" s="1">
        <v>46196.758333333331</v>
      </c>
    </row>
    <row r="748" spans="1:15" x14ac:dyDescent="0.25">
      <c r="A748">
        <v>-666224116</v>
      </c>
      <c r="B748" t="s">
        <v>649</v>
      </c>
      <c r="G748">
        <v>44</v>
      </c>
      <c r="H748" t="s">
        <v>16</v>
      </c>
      <c r="I748">
        <v>35.4</v>
      </c>
      <c r="J748">
        <v>35.4</v>
      </c>
      <c r="L748" t="s">
        <v>12</v>
      </c>
      <c r="M748" t="b">
        <v>0</v>
      </c>
      <c r="O748" s="1">
        <v>46196.758333333331</v>
      </c>
    </row>
    <row r="749" spans="1:15" x14ac:dyDescent="0.25">
      <c r="A749">
        <v>1782213382</v>
      </c>
      <c r="B749" t="s">
        <v>651</v>
      </c>
      <c r="C749" t="s">
        <v>388</v>
      </c>
      <c r="D749" t="s">
        <v>389</v>
      </c>
      <c r="E749" t="s">
        <v>336</v>
      </c>
      <c r="F749">
        <v>50</v>
      </c>
      <c r="K749" s="1">
        <v>46196.761365740742</v>
      </c>
      <c r="M749" t="b">
        <v>1</v>
      </c>
      <c r="N749" s="1">
        <v>46198.697627314818</v>
      </c>
      <c r="O749" s="1">
        <v>46196.761365740742</v>
      </c>
    </row>
    <row r="750" spans="1:15" x14ac:dyDescent="0.25">
      <c r="A750">
        <v>1273771023</v>
      </c>
      <c r="B750" t="s">
        <v>651</v>
      </c>
      <c r="G750">
        <v>41</v>
      </c>
      <c r="H750" t="s">
        <v>29</v>
      </c>
      <c r="I750">
        <v>505</v>
      </c>
      <c r="J750">
        <v>507.7</v>
      </c>
      <c r="L750" t="s">
        <v>12</v>
      </c>
      <c r="M750" t="b">
        <v>0</v>
      </c>
      <c r="O750" s="1">
        <v>46196.761365740742</v>
      </c>
    </row>
    <row r="751" spans="1:15" x14ac:dyDescent="0.25">
      <c r="A751">
        <v>-2012569436</v>
      </c>
      <c r="B751" t="s">
        <v>651</v>
      </c>
      <c r="G751">
        <v>35</v>
      </c>
      <c r="H751" t="s">
        <v>36</v>
      </c>
      <c r="I751">
        <v>31.5</v>
      </c>
      <c r="J751">
        <v>31.7</v>
      </c>
      <c r="L751" t="s">
        <v>12</v>
      </c>
      <c r="M751" t="b">
        <v>0</v>
      </c>
      <c r="O751" s="1">
        <v>46196.761365740742</v>
      </c>
    </row>
    <row r="752" spans="1:15" x14ac:dyDescent="0.25">
      <c r="A752">
        <v>1798411477</v>
      </c>
      <c r="B752" t="s">
        <v>651</v>
      </c>
      <c r="G752">
        <v>44</v>
      </c>
      <c r="H752" t="s">
        <v>16</v>
      </c>
      <c r="I752">
        <v>16</v>
      </c>
      <c r="J752">
        <v>16</v>
      </c>
      <c r="L752" t="s">
        <v>12</v>
      </c>
      <c r="M752" t="b">
        <v>0</v>
      </c>
      <c r="O752" s="1">
        <v>46196.761365740742</v>
      </c>
    </row>
    <row r="753" spans="1:15" x14ac:dyDescent="0.25">
      <c r="A753">
        <v>1782218818</v>
      </c>
      <c r="B753" t="s">
        <v>652</v>
      </c>
      <c r="C753" t="s">
        <v>653</v>
      </c>
      <c r="D753" t="s">
        <v>654</v>
      </c>
      <c r="E753" t="s">
        <v>336</v>
      </c>
      <c r="F753">
        <v>120</v>
      </c>
      <c r="K753" s="1">
        <v>46196.824282407404</v>
      </c>
      <c r="M753" t="b">
        <v>1</v>
      </c>
      <c r="N753" s="1">
        <v>46198.697627314818</v>
      </c>
      <c r="O753" s="1">
        <v>46196.824282407404</v>
      </c>
    </row>
    <row r="754" spans="1:15" x14ac:dyDescent="0.25">
      <c r="A754">
        <v>-2113677413</v>
      </c>
      <c r="B754" t="s">
        <v>652</v>
      </c>
      <c r="G754">
        <v>41</v>
      </c>
      <c r="H754" t="s">
        <v>29</v>
      </c>
      <c r="I754">
        <v>1740</v>
      </c>
      <c r="J754">
        <v>1739.7</v>
      </c>
      <c r="L754" t="s">
        <v>12</v>
      </c>
      <c r="M754" t="b">
        <v>0</v>
      </c>
      <c r="O754" s="1">
        <v>46196.824282407404</v>
      </c>
    </row>
    <row r="755" spans="1:15" x14ac:dyDescent="0.25">
      <c r="A755">
        <v>1782219170</v>
      </c>
      <c r="B755" t="s">
        <v>655</v>
      </c>
      <c r="C755" t="s">
        <v>624</v>
      </c>
      <c r="D755" t="s">
        <v>625</v>
      </c>
      <c r="E755" t="s">
        <v>340</v>
      </c>
      <c r="F755">
        <v>250</v>
      </c>
      <c r="K755" s="1">
        <v>46196.828344907408</v>
      </c>
      <c r="M755" t="b">
        <v>1</v>
      </c>
      <c r="N755" s="1">
        <v>46198.697627314818</v>
      </c>
      <c r="O755" s="1">
        <v>46196.828344907408</v>
      </c>
    </row>
    <row r="756" spans="1:15" x14ac:dyDescent="0.25">
      <c r="A756">
        <v>-79669893</v>
      </c>
      <c r="B756" t="s">
        <v>655</v>
      </c>
      <c r="G756">
        <v>41</v>
      </c>
      <c r="H756" t="s">
        <v>29</v>
      </c>
      <c r="I756">
        <v>1400</v>
      </c>
      <c r="J756">
        <v>1402.8</v>
      </c>
      <c r="L756" t="s">
        <v>12</v>
      </c>
      <c r="M756" t="b">
        <v>0</v>
      </c>
      <c r="O756" s="1">
        <v>46196.828344907408</v>
      </c>
    </row>
    <row r="757" spans="1:15" x14ac:dyDescent="0.25">
      <c r="A757">
        <v>786139296</v>
      </c>
      <c r="B757" t="s">
        <v>655</v>
      </c>
      <c r="G757">
        <v>68</v>
      </c>
      <c r="H757" t="s">
        <v>14</v>
      </c>
      <c r="I757">
        <v>207.5</v>
      </c>
      <c r="J757">
        <v>206.7</v>
      </c>
      <c r="L757" t="s">
        <v>12</v>
      </c>
      <c r="M757" t="b">
        <v>0</v>
      </c>
      <c r="O757" s="1">
        <v>46196.828344907408</v>
      </c>
    </row>
    <row r="758" spans="1:15" x14ac:dyDescent="0.25">
      <c r="A758">
        <v>-2125020127</v>
      </c>
      <c r="B758" t="s">
        <v>655</v>
      </c>
      <c r="G758">
        <v>11</v>
      </c>
      <c r="H758" t="s">
        <v>33</v>
      </c>
      <c r="I758">
        <v>62.5</v>
      </c>
      <c r="J758">
        <v>62.6</v>
      </c>
      <c r="L758" t="s">
        <v>12</v>
      </c>
      <c r="M758" t="b">
        <v>0</v>
      </c>
      <c r="O758" s="1">
        <v>46196.828344907408</v>
      </c>
    </row>
    <row r="759" spans="1:15" x14ac:dyDescent="0.25">
      <c r="A759">
        <v>1782219837</v>
      </c>
      <c r="B759" t="s">
        <v>656</v>
      </c>
      <c r="C759" t="s">
        <v>376</v>
      </c>
      <c r="D759" t="s">
        <v>377</v>
      </c>
      <c r="E759" t="s">
        <v>340</v>
      </c>
      <c r="F759">
        <v>450</v>
      </c>
      <c r="K759" s="1">
        <v>46196.836064814815</v>
      </c>
      <c r="M759" t="b">
        <v>1</v>
      </c>
      <c r="N759" s="1">
        <v>46198.697627314818</v>
      </c>
      <c r="O759" s="1">
        <v>46196.836064814815</v>
      </c>
    </row>
    <row r="760" spans="1:15" x14ac:dyDescent="0.25">
      <c r="A760">
        <v>-581432134</v>
      </c>
      <c r="B760" t="s">
        <v>656</v>
      </c>
      <c r="G760">
        <v>41</v>
      </c>
      <c r="H760" t="s">
        <v>29</v>
      </c>
      <c r="I760">
        <v>972</v>
      </c>
      <c r="J760">
        <v>973.3</v>
      </c>
      <c r="L760" t="s">
        <v>12</v>
      </c>
      <c r="M760" t="b">
        <v>0</v>
      </c>
      <c r="O760" s="1">
        <v>46196.836064814815</v>
      </c>
    </row>
    <row r="761" spans="1:15" x14ac:dyDescent="0.25">
      <c r="A761">
        <v>275339443</v>
      </c>
      <c r="B761" t="s">
        <v>656</v>
      </c>
      <c r="G761">
        <v>58</v>
      </c>
      <c r="H761" t="s">
        <v>32</v>
      </c>
      <c r="I761">
        <v>1993.5</v>
      </c>
      <c r="J761">
        <v>1996.5</v>
      </c>
      <c r="L761" t="s">
        <v>12</v>
      </c>
      <c r="M761" t="b">
        <v>0</v>
      </c>
      <c r="O761" s="1">
        <v>46196.836064814815</v>
      </c>
    </row>
    <row r="762" spans="1:15" x14ac:dyDescent="0.25">
      <c r="A762">
        <v>1979017592</v>
      </c>
      <c r="B762" t="s">
        <v>656</v>
      </c>
      <c r="G762">
        <v>35</v>
      </c>
      <c r="H762" t="s">
        <v>36</v>
      </c>
      <c r="I762">
        <v>339.3</v>
      </c>
      <c r="J762">
        <v>339.5</v>
      </c>
      <c r="L762" t="s">
        <v>12</v>
      </c>
      <c r="M762" t="b">
        <v>0</v>
      </c>
      <c r="O762" s="1">
        <v>46196.836064814815</v>
      </c>
    </row>
    <row r="763" spans="1:15" x14ac:dyDescent="0.25">
      <c r="A763">
        <v>1055218201</v>
      </c>
      <c r="B763" t="s">
        <v>656</v>
      </c>
      <c r="G763">
        <v>16</v>
      </c>
      <c r="H763" t="s">
        <v>13</v>
      </c>
      <c r="I763">
        <v>137.69999999999999</v>
      </c>
      <c r="J763">
        <v>138</v>
      </c>
      <c r="L763" t="s">
        <v>12</v>
      </c>
      <c r="M763" t="b">
        <v>0</v>
      </c>
      <c r="O763" s="1">
        <v>46196.836064814815</v>
      </c>
    </row>
    <row r="764" spans="1:15" x14ac:dyDescent="0.25">
      <c r="A764">
        <v>1782220771</v>
      </c>
      <c r="B764" t="s">
        <v>657</v>
      </c>
      <c r="C764" t="s">
        <v>658</v>
      </c>
      <c r="D764" t="s">
        <v>659</v>
      </c>
      <c r="E764" t="s">
        <v>336</v>
      </c>
      <c r="F764">
        <v>250</v>
      </c>
      <c r="K764" s="1">
        <v>46196.846886574072</v>
      </c>
      <c r="M764" t="b">
        <v>1</v>
      </c>
      <c r="N764" s="1">
        <v>46198.697627314818</v>
      </c>
      <c r="O764" s="1">
        <v>46196.846886574072</v>
      </c>
    </row>
    <row r="765" spans="1:15" x14ac:dyDescent="0.25">
      <c r="A765">
        <v>203412712</v>
      </c>
      <c r="B765" t="s">
        <v>657</v>
      </c>
      <c r="G765">
        <v>41</v>
      </c>
      <c r="H765" t="s">
        <v>29</v>
      </c>
      <c r="I765">
        <v>1740</v>
      </c>
      <c r="J765">
        <v>1742.6</v>
      </c>
      <c r="L765" t="s">
        <v>12</v>
      </c>
      <c r="M765" t="b">
        <v>0</v>
      </c>
      <c r="O765" s="1">
        <v>46196.846886574072</v>
      </c>
    </row>
    <row r="766" spans="1:15" x14ac:dyDescent="0.25">
      <c r="A766">
        <v>1826675913</v>
      </c>
      <c r="B766" t="s">
        <v>657</v>
      </c>
      <c r="G766">
        <v>58</v>
      </c>
      <c r="H766" t="s">
        <v>32</v>
      </c>
      <c r="I766">
        <v>3797.5</v>
      </c>
      <c r="J766">
        <v>3799.9</v>
      </c>
      <c r="L766" t="s">
        <v>12</v>
      </c>
      <c r="M766" t="b">
        <v>0</v>
      </c>
      <c r="O766" s="1">
        <v>46196.846886574072</v>
      </c>
    </row>
    <row r="767" spans="1:15" x14ac:dyDescent="0.25">
      <c r="A767">
        <v>790848854</v>
      </c>
      <c r="B767" t="s">
        <v>657</v>
      </c>
      <c r="G767">
        <v>35</v>
      </c>
      <c r="H767" t="s">
        <v>36</v>
      </c>
      <c r="I767">
        <v>268.75</v>
      </c>
      <c r="J767">
        <v>269.3</v>
      </c>
      <c r="L767" t="s">
        <v>12</v>
      </c>
      <c r="M767" t="b">
        <v>0</v>
      </c>
      <c r="O767" s="1">
        <v>46196.846886574072</v>
      </c>
    </row>
    <row r="768" spans="1:15" x14ac:dyDescent="0.25">
      <c r="A768">
        <v>1036260383</v>
      </c>
      <c r="B768" t="s">
        <v>657</v>
      </c>
      <c r="G768">
        <v>44</v>
      </c>
      <c r="H768" t="s">
        <v>16</v>
      </c>
      <c r="I768">
        <v>138.75</v>
      </c>
      <c r="J768">
        <v>138.4</v>
      </c>
      <c r="L768" t="s">
        <v>12</v>
      </c>
      <c r="M768" t="b">
        <v>0</v>
      </c>
      <c r="O768" s="1">
        <v>46196.846886574072</v>
      </c>
    </row>
    <row r="769" spans="1:15" x14ac:dyDescent="0.25">
      <c r="A769">
        <v>1782224918</v>
      </c>
      <c r="B769" t="s">
        <v>660</v>
      </c>
      <c r="C769" t="s">
        <v>376</v>
      </c>
      <c r="D769" t="s">
        <v>377</v>
      </c>
      <c r="E769" t="s">
        <v>313</v>
      </c>
      <c r="F769">
        <v>450</v>
      </c>
      <c r="K769" s="1">
        <v>46196.894884259258</v>
      </c>
      <c r="M769" t="b">
        <v>1</v>
      </c>
      <c r="N769" s="1">
        <v>46198.697627314818</v>
      </c>
      <c r="O769" s="1">
        <v>46196.894884259258</v>
      </c>
    </row>
    <row r="770" spans="1:15" x14ac:dyDescent="0.25">
      <c r="A770">
        <v>1752203231</v>
      </c>
      <c r="B770" t="s">
        <v>660</v>
      </c>
      <c r="G770">
        <v>41</v>
      </c>
      <c r="H770" t="s">
        <v>29</v>
      </c>
      <c r="I770">
        <v>972</v>
      </c>
      <c r="J770">
        <v>974.4</v>
      </c>
      <c r="L770" t="s">
        <v>12</v>
      </c>
      <c r="M770" t="b">
        <v>0</v>
      </c>
      <c r="O770" s="1">
        <v>46196.894884259258</v>
      </c>
    </row>
    <row r="771" spans="1:15" x14ac:dyDescent="0.25">
      <c r="A771">
        <v>1265161268</v>
      </c>
      <c r="B771" t="s">
        <v>660</v>
      </c>
      <c r="G771">
        <v>58</v>
      </c>
      <c r="H771" t="s">
        <v>32</v>
      </c>
      <c r="I771">
        <v>1993.5</v>
      </c>
      <c r="J771">
        <v>1996.6</v>
      </c>
      <c r="L771" t="s">
        <v>12</v>
      </c>
      <c r="M771" t="b">
        <v>0</v>
      </c>
      <c r="O771" s="1">
        <v>46196.894884259258</v>
      </c>
    </row>
    <row r="772" spans="1:15" x14ac:dyDescent="0.25">
      <c r="A772">
        <v>2031355173</v>
      </c>
      <c r="B772" t="s">
        <v>660</v>
      </c>
      <c r="G772">
        <v>35</v>
      </c>
      <c r="H772" t="s">
        <v>36</v>
      </c>
      <c r="I772">
        <v>339.3</v>
      </c>
      <c r="J772">
        <v>340.1</v>
      </c>
      <c r="L772" t="s">
        <v>12</v>
      </c>
      <c r="M772" t="b">
        <v>0</v>
      </c>
      <c r="O772" s="1">
        <v>46196.894884259258</v>
      </c>
    </row>
    <row r="773" spans="1:15" x14ac:dyDescent="0.25">
      <c r="A773">
        <v>-1788598910</v>
      </c>
      <c r="B773" t="s">
        <v>660</v>
      </c>
      <c r="G773">
        <v>16</v>
      </c>
      <c r="H773" t="s">
        <v>13</v>
      </c>
      <c r="I773">
        <v>137.69999999999999</v>
      </c>
      <c r="J773">
        <v>139.1</v>
      </c>
      <c r="L773" t="s">
        <v>15</v>
      </c>
      <c r="M773" t="b">
        <v>0</v>
      </c>
      <c r="O773" s="1">
        <v>46196.894884259258</v>
      </c>
    </row>
    <row r="774" spans="1:15" x14ac:dyDescent="0.25">
      <c r="A774">
        <v>1782226573</v>
      </c>
      <c r="B774" t="s">
        <v>661</v>
      </c>
      <c r="C774" t="s">
        <v>345</v>
      </c>
      <c r="D774" t="s">
        <v>371</v>
      </c>
      <c r="E774" t="s">
        <v>340</v>
      </c>
      <c r="F774">
        <v>100</v>
      </c>
      <c r="K774" s="1">
        <v>46196.914027777777</v>
      </c>
      <c r="M774" t="b">
        <v>1</v>
      </c>
      <c r="N774" s="1">
        <v>46198.697627314818</v>
      </c>
      <c r="O774" s="1">
        <v>46196.914027777777</v>
      </c>
    </row>
    <row r="775" spans="1:15" x14ac:dyDescent="0.25">
      <c r="A775">
        <v>-117404470</v>
      </c>
      <c r="B775" t="s">
        <v>661</v>
      </c>
      <c r="G775">
        <v>41</v>
      </c>
      <c r="H775" t="s">
        <v>29</v>
      </c>
      <c r="I775">
        <v>460</v>
      </c>
      <c r="J775">
        <v>462.6</v>
      </c>
      <c r="L775" t="s">
        <v>12</v>
      </c>
      <c r="M775" t="b">
        <v>0</v>
      </c>
      <c r="O775" s="1">
        <v>46196.914027777777</v>
      </c>
    </row>
    <row r="776" spans="1:15" x14ac:dyDescent="0.25">
      <c r="A776">
        <v>68565891</v>
      </c>
      <c r="B776" t="s">
        <v>661</v>
      </c>
      <c r="G776">
        <v>35</v>
      </c>
      <c r="H776" t="s">
        <v>36</v>
      </c>
      <c r="I776">
        <v>165</v>
      </c>
      <c r="J776">
        <v>163.19999999999999</v>
      </c>
      <c r="L776" t="s">
        <v>15</v>
      </c>
      <c r="M776" t="b">
        <v>0</v>
      </c>
      <c r="O776" s="1">
        <v>46196.914027777777</v>
      </c>
    </row>
    <row r="777" spans="1:15" x14ac:dyDescent="0.25">
      <c r="A777">
        <v>1126180872</v>
      </c>
      <c r="B777" t="s">
        <v>661</v>
      </c>
      <c r="G777">
        <v>44</v>
      </c>
      <c r="H777" t="s">
        <v>16</v>
      </c>
      <c r="I777">
        <v>29</v>
      </c>
      <c r="J777">
        <v>27</v>
      </c>
      <c r="L777" t="s">
        <v>15</v>
      </c>
      <c r="M777" t="b">
        <v>0</v>
      </c>
      <c r="O777" s="1">
        <v>46196.914027777777</v>
      </c>
    </row>
    <row r="778" spans="1:15" x14ac:dyDescent="0.25">
      <c r="A778">
        <v>1782226894</v>
      </c>
      <c r="B778" t="s">
        <v>662</v>
      </c>
      <c r="C778" t="s">
        <v>518</v>
      </c>
      <c r="D778" t="s">
        <v>563</v>
      </c>
      <c r="E778" t="s">
        <v>313</v>
      </c>
      <c r="F778">
        <v>50</v>
      </c>
      <c r="K778" s="1">
        <v>46196.917754629627</v>
      </c>
      <c r="M778" t="b">
        <v>1</v>
      </c>
      <c r="N778" s="1">
        <v>46198.697627314818</v>
      </c>
      <c r="O778" s="1">
        <v>46196.917754629627</v>
      </c>
    </row>
    <row r="779" spans="1:15" x14ac:dyDescent="0.25">
      <c r="A779">
        <v>-983487689</v>
      </c>
      <c r="B779" t="s">
        <v>662</v>
      </c>
      <c r="G779">
        <v>41</v>
      </c>
      <c r="H779" t="s">
        <v>29</v>
      </c>
      <c r="I779">
        <v>1000</v>
      </c>
      <c r="J779">
        <v>999.6</v>
      </c>
      <c r="L779" t="s">
        <v>12</v>
      </c>
      <c r="M779" t="b">
        <v>0</v>
      </c>
      <c r="O779" s="1">
        <v>46196.917754629627</v>
      </c>
    </row>
    <row r="780" spans="1:15" x14ac:dyDescent="0.25">
      <c r="A780">
        <v>-106429780</v>
      </c>
      <c r="B780" t="s">
        <v>662</v>
      </c>
      <c r="G780">
        <v>58</v>
      </c>
      <c r="H780" t="s">
        <v>32</v>
      </c>
      <c r="I780">
        <v>300</v>
      </c>
      <c r="J780">
        <v>299.3</v>
      </c>
      <c r="L780" t="s">
        <v>12</v>
      </c>
      <c r="M780" t="b">
        <v>0</v>
      </c>
      <c r="O780" s="1">
        <v>46196.917754629627</v>
      </c>
    </row>
    <row r="781" spans="1:15" x14ac:dyDescent="0.25">
      <c r="A781">
        <v>602865725</v>
      </c>
      <c r="B781" t="s">
        <v>662</v>
      </c>
      <c r="G781">
        <v>35</v>
      </c>
      <c r="H781" t="s">
        <v>36</v>
      </c>
      <c r="I781">
        <v>11</v>
      </c>
      <c r="J781">
        <v>9.1999999999999993</v>
      </c>
      <c r="L781" t="s">
        <v>15</v>
      </c>
      <c r="M781" t="b">
        <v>0</v>
      </c>
      <c r="O781" s="1">
        <v>46196.917754629627</v>
      </c>
    </row>
    <row r="782" spans="1:15" x14ac:dyDescent="0.25">
      <c r="A782">
        <v>-1451632454</v>
      </c>
      <c r="B782" t="s">
        <v>662</v>
      </c>
      <c r="G782">
        <v>16</v>
      </c>
      <c r="H782" t="s">
        <v>13</v>
      </c>
      <c r="I782">
        <v>30</v>
      </c>
      <c r="J782">
        <v>33.4</v>
      </c>
      <c r="L782" t="s">
        <v>15</v>
      </c>
      <c r="M782" t="b">
        <v>0</v>
      </c>
      <c r="O782" s="1">
        <v>46196.917754629627</v>
      </c>
    </row>
    <row r="783" spans="1:15" x14ac:dyDescent="0.25">
      <c r="A783">
        <v>1782236244</v>
      </c>
      <c r="B783" t="s">
        <v>663</v>
      </c>
      <c r="C783" t="s">
        <v>376</v>
      </c>
      <c r="D783" t="s">
        <v>377</v>
      </c>
      <c r="E783" t="s">
        <v>313</v>
      </c>
      <c r="F783">
        <v>450</v>
      </c>
      <c r="K783" s="1">
        <v>46197.025972222225</v>
      </c>
      <c r="M783" t="b">
        <v>1</v>
      </c>
      <c r="N783" s="1">
        <v>46198.697627314818</v>
      </c>
      <c r="O783" s="1">
        <v>46197.025972222225</v>
      </c>
    </row>
    <row r="784" spans="1:15" x14ac:dyDescent="0.25">
      <c r="A784">
        <v>-373818683</v>
      </c>
      <c r="B784" t="s">
        <v>663</v>
      </c>
      <c r="G784">
        <v>41</v>
      </c>
      <c r="H784" t="s">
        <v>29</v>
      </c>
      <c r="I784">
        <v>972</v>
      </c>
      <c r="J784">
        <v>976.2</v>
      </c>
      <c r="L784" t="s">
        <v>12</v>
      </c>
      <c r="M784" t="b">
        <v>0</v>
      </c>
      <c r="O784" s="1">
        <v>46197.025972222225</v>
      </c>
    </row>
    <row r="785" spans="1:15" x14ac:dyDescent="0.25">
      <c r="A785">
        <v>-119270750</v>
      </c>
      <c r="B785" t="s">
        <v>663</v>
      </c>
      <c r="G785">
        <v>58</v>
      </c>
      <c r="H785" t="s">
        <v>32</v>
      </c>
      <c r="I785">
        <v>1993.5</v>
      </c>
      <c r="J785">
        <v>1992.7</v>
      </c>
      <c r="L785" t="s">
        <v>12</v>
      </c>
      <c r="M785" t="b">
        <v>0</v>
      </c>
      <c r="O785" s="1">
        <v>46197.025972222225</v>
      </c>
    </row>
    <row r="786" spans="1:15" x14ac:dyDescent="0.25">
      <c r="A786">
        <v>-1487613317</v>
      </c>
      <c r="B786" t="s">
        <v>663</v>
      </c>
      <c r="G786">
        <v>35</v>
      </c>
      <c r="H786" t="s">
        <v>36</v>
      </c>
      <c r="I786">
        <v>339.3</v>
      </c>
      <c r="J786">
        <v>337.5</v>
      </c>
      <c r="L786" t="s">
        <v>12</v>
      </c>
      <c r="M786" t="b">
        <v>0</v>
      </c>
      <c r="O786" s="1">
        <v>46197.025972222225</v>
      </c>
    </row>
    <row r="787" spans="1:15" x14ac:dyDescent="0.25">
      <c r="A787">
        <v>381911456</v>
      </c>
      <c r="B787" t="s">
        <v>663</v>
      </c>
      <c r="G787">
        <v>16</v>
      </c>
      <c r="H787" t="s">
        <v>13</v>
      </c>
      <c r="I787">
        <v>137.69999999999999</v>
      </c>
      <c r="J787">
        <v>135.69999999999999</v>
      </c>
      <c r="L787" t="s">
        <v>15</v>
      </c>
      <c r="M787" t="b">
        <v>0</v>
      </c>
      <c r="O787" s="1">
        <v>46197.025972222225</v>
      </c>
    </row>
    <row r="788" spans="1:15" x14ac:dyDescent="0.25">
      <c r="A788">
        <v>1782239350</v>
      </c>
      <c r="B788" t="s">
        <v>664</v>
      </c>
      <c r="C788" t="s">
        <v>477</v>
      </c>
      <c r="D788" t="s">
        <v>19</v>
      </c>
      <c r="E788" t="s">
        <v>336</v>
      </c>
      <c r="F788">
        <v>50</v>
      </c>
      <c r="K788" s="1">
        <v>46197.061921296299</v>
      </c>
      <c r="M788" t="b">
        <v>1</v>
      </c>
      <c r="N788" s="1">
        <v>46198.697627314818</v>
      </c>
      <c r="O788" s="1">
        <v>46197.061921296299</v>
      </c>
    </row>
    <row r="789" spans="1:15" x14ac:dyDescent="0.25">
      <c r="A789">
        <v>-752834369</v>
      </c>
      <c r="B789" t="s">
        <v>664</v>
      </c>
      <c r="G789">
        <v>41</v>
      </c>
      <c r="H789" t="s">
        <v>29</v>
      </c>
      <c r="I789">
        <v>1089</v>
      </c>
      <c r="J789">
        <v>1090.2</v>
      </c>
      <c r="L789" t="s">
        <v>12</v>
      </c>
      <c r="M789" t="b">
        <v>0</v>
      </c>
      <c r="O789" s="1">
        <v>46197.061921296299</v>
      </c>
    </row>
    <row r="790" spans="1:15" x14ac:dyDescent="0.25">
      <c r="A790">
        <v>689521556</v>
      </c>
      <c r="B790" t="s">
        <v>664</v>
      </c>
      <c r="G790">
        <v>35</v>
      </c>
      <c r="H790" t="s">
        <v>36</v>
      </c>
      <c r="I790">
        <v>151.65</v>
      </c>
      <c r="J790">
        <v>152.30000000000001</v>
      </c>
      <c r="L790" t="s">
        <v>12</v>
      </c>
      <c r="M790" t="b">
        <v>0</v>
      </c>
      <c r="O790" s="1">
        <v>46197.061921296299</v>
      </c>
    </row>
    <row r="791" spans="1:15" x14ac:dyDescent="0.25">
      <c r="A791">
        <v>-316155643</v>
      </c>
      <c r="B791" t="s">
        <v>664</v>
      </c>
      <c r="G791">
        <v>44</v>
      </c>
      <c r="H791" t="s">
        <v>16</v>
      </c>
      <c r="I791">
        <v>19.84</v>
      </c>
      <c r="J791">
        <v>18.7</v>
      </c>
      <c r="L791" t="s">
        <v>15</v>
      </c>
      <c r="M791" t="b">
        <v>0</v>
      </c>
      <c r="O791" s="1">
        <v>46197.061921296299</v>
      </c>
    </row>
    <row r="792" spans="1:15" x14ac:dyDescent="0.25">
      <c r="A792">
        <v>1782261240</v>
      </c>
      <c r="B792" t="s">
        <v>665</v>
      </c>
      <c r="C792" t="s">
        <v>666</v>
      </c>
      <c r="D792" t="s">
        <v>619</v>
      </c>
      <c r="E792" t="s">
        <v>340</v>
      </c>
      <c r="F792">
        <v>120</v>
      </c>
      <c r="K792" s="1">
        <v>46197.31527777778</v>
      </c>
      <c r="M792" t="b">
        <v>1</v>
      </c>
      <c r="N792" s="1">
        <v>46198.697627314818</v>
      </c>
      <c r="O792" s="1">
        <v>46197.31527777778</v>
      </c>
    </row>
    <row r="793" spans="1:15" x14ac:dyDescent="0.25">
      <c r="A793">
        <v>1988263065</v>
      </c>
      <c r="B793" t="s">
        <v>665</v>
      </c>
      <c r="G793">
        <v>41</v>
      </c>
      <c r="H793" t="s">
        <v>29</v>
      </c>
      <c r="I793">
        <v>1530</v>
      </c>
      <c r="J793">
        <v>1527</v>
      </c>
      <c r="L793" t="s">
        <v>12</v>
      </c>
      <c r="M793" t="b">
        <v>0</v>
      </c>
      <c r="O793" s="1">
        <v>46197.31527777778</v>
      </c>
    </row>
    <row r="794" spans="1:15" x14ac:dyDescent="0.25">
      <c r="A794">
        <v>-98476826</v>
      </c>
      <c r="B794" t="s">
        <v>665</v>
      </c>
      <c r="G794">
        <v>35</v>
      </c>
      <c r="H794" t="s">
        <v>36</v>
      </c>
      <c r="I794">
        <v>92</v>
      </c>
      <c r="J794">
        <v>94.8</v>
      </c>
      <c r="L794" t="s">
        <v>15</v>
      </c>
      <c r="M794" t="b">
        <v>0</v>
      </c>
      <c r="O794" s="1">
        <v>46197.31527777778</v>
      </c>
    </row>
    <row r="795" spans="1:15" x14ac:dyDescent="0.25">
      <c r="A795">
        <v>752089199</v>
      </c>
      <c r="B795" t="s">
        <v>665</v>
      </c>
      <c r="G795">
        <v>44</v>
      </c>
      <c r="H795" t="s">
        <v>16</v>
      </c>
      <c r="I795">
        <v>102</v>
      </c>
      <c r="J795">
        <v>99.9</v>
      </c>
      <c r="L795" t="s">
        <v>15</v>
      </c>
      <c r="M795" t="b">
        <v>0</v>
      </c>
      <c r="O795" s="1">
        <v>46197.31527777778</v>
      </c>
    </row>
    <row r="796" spans="1:15" x14ac:dyDescent="0.25">
      <c r="A796">
        <v>1782264263</v>
      </c>
      <c r="B796" t="s">
        <v>667</v>
      </c>
      <c r="C796" t="s">
        <v>668</v>
      </c>
      <c r="D796" t="s">
        <v>669</v>
      </c>
      <c r="E796" t="s">
        <v>336</v>
      </c>
      <c r="F796">
        <v>50</v>
      </c>
      <c r="K796" s="1">
        <v>46197.350266203706</v>
      </c>
      <c r="M796" t="b">
        <v>1</v>
      </c>
      <c r="N796" s="1">
        <v>46198.697627314818</v>
      </c>
      <c r="O796" s="1">
        <v>46197.350266203706</v>
      </c>
    </row>
    <row r="797" spans="1:15" x14ac:dyDescent="0.25">
      <c r="A797">
        <v>-1444902404</v>
      </c>
      <c r="B797" t="s">
        <v>667</v>
      </c>
      <c r="G797">
        <v>41</v>
      </c>
      <c r="H797" t="s">
        <v>29</v>
      </c>
      <c r="I797">
        <v>1000</v>
      </c>
      <c r="J797">
        <v>1002.5</v>
      </c>
      <c r="L797" t="s">
        <v>12</v>
      </c>
      <c r="M797" t="b">
        <v>0</v>
      </c>
      <c r="O797" s="1">
        <v>46197.350266203706</v>
      </c>
    </row>
    <row r="798" spans="1:15" x14ac:dyDescent="0.25">
      <c r="A798">
        <v>728803661</v>
      </c>
      <c r="B798" t="s">
        <v>667</v>
      </c>
      <c r="G798">
        <v>58</v>
      </c>
      <c r="H798" t="s">
        <v>32</v>
      </c>
      <c r="I798">
        <v>550</v>
      </c>
      <c r="J798">
        <v>545.6</v>
      </c>
      <c r="L798" t="s">
        <v>12</v>
      </c>
      <c r="M798" t="b">
        <v>0</v>
      </c>
      <c r="O798" s="1">
        <v>46197.350266203706</v>
      </c>
    </row>
    <row r="799" spans="1:15" x14ac:dyDescent="0.25">
      <c r="A799">
        <v>1831399562</v>
      </c>
      <c r="B799" t="s">
        <v>667</v>
      </c>
      <c r="G799">
        <v>35</v>
      </c>
      <c r="H799" t="s">
        <v>36</v>
      </c>
      <c r="I799">
        <v>32</v>
      </c>
      <c r="J799">
        <v>31.9</v>
      </c>
      <c r="L799" t="s">
        <v>12</v>
      </c>
      <c r="M799" t="b">
        <v>0</v>
      </c>
      <c r="O799" s="1">
        <v>46197.350266203706</v>
      </c>
    </row>
    <row r="800" spans="1:15" x14ac:dyDescent="0.25">
      <c r="A800">
        <v>-389135293</v>
      </c>
      <c r="B800" t="s">
        <v>667</v>
      </c>
      <c r="G800">
        <v>16</v>
      </c>
      <c r="H800" t="s">
        <v>13</v>
      </c>
      <c r="I800">
        <v>25</v>
      </c>
      <c r="L800" t="s">
        <v>15</v>
      </c>
      <c r="M800" t="b">
        <v>0</v>
      </c>
      <c r="O800" s="1">
        <v>46197.350266203706</v>
      </c>
    </row>
    <row r="801" spans="1:15" x14ac:dyDescent="0.25">
      <c r="A801">
        <v>1782264330</v>
      </c>
      <c r="B801" t="s">
        <v>670</v>
      </c>
      <c r="C801" t="s">
        <v>668</v>
      </c>
      <c r="D801" t="s">
        <v>669</v>
      </c>
      <c r="E801" t="s">
        <v>336</v>
      </c>
      <c r="F801">
        <v>50</v>
      </c>
      <c r="K801" s="1">
        <v>46197.351041666669</v>
      </c>
      <c r="M801" t="b">
        <v>1</v>
      </c>
      <c r="N801" s="1">
        <v>46198.697627314818</v>
      </c>
      <c r="O801" s="1">
        <v>46197.351041666669</v>
      </c>
    </row>
    <row r="802" spans="1:15" x14ac:dyDescent="0.25">
      <c r="A802">
        <v>-1411594301</v>
      </c>
      <c r="B802" t="s">
        <v>670</v>
      </c>
      <c r="G802">
        <v>41</v>
      </c>
      <c r="H802" t="s">
        <v>29</v>
      </c>
      <c r="I802">
        <v>1000</v>
      </c>
      <c r="J802">
        <v>0.4</v>
      </c>
      <c r="L802" t="s">
        <v>15</v>
      </c>
      <c r="M802" t="b">
        <v>0</v>
      </c>
      <c r="O802" s="1">
        <v>46197.351041666669</v>
      </c>
    </row>
    <row r="803" spans="1:15" x14ac:dyDescent="0.25">
      <c r="A803">
        <v>-217559224</v>
      </c>
      <c r="B803" t="s">
        <v>670</v>
      </c>
      <c r="G803">
        <v>58</v>
      </c>
      <c r="H803" t="s">
        <v>32</v>
      </c>
      <c r="I803">
        <v>550</v>
      </c>
      <c r="J803">
        <v>0.7</v>
      </c>
      <c r="L803" t="s">
        <v>15</v>
      </c>
      <c r="M803" t="b">
        <v>0</v>
      </c>
      <c r="O803" s="1">
        <v>46197.351041666669</v>
      </c>
    </row>
    <row r="804" spans="1:15" x14ac:dyDescent="0.25">
      <c r="A804">
        <v>-1716478039</v>
      </c>
      <c r="B804" t="s">
        <v>670</v>
      </c>
      <c r="G804">
        <v>35</v>
      </c>
      <c r="H804" t="s">
        <v>36</v>
      </c>
      <c r="I804">
        <v>32</v>
      </c>
      <c r="J804">
        <v>0.7</v>
      </c>
      <c r="L804" t="s">
        <v>15</v>
      </c>
      <c r="M804" t="b">
        <v>0</v>
      </c>
      <c r="O804" s="1">
        <v>46197.351041666669</v>
      </c>
    </row>
    <row r="805" spans="1:15" x14ac:dyDescent="0.25">
      <c r="A805">
        <v>280880822</v>
      </c>
      <c r="B805" t="s">
        <v>670</v>
      </c>
      <c r="G805">
        <v>16</v>
      </c>
      <c r="H805" t="s">
        <v>13</v>
      </c>
      <c r="I805">
        <v>25</v>
      </c>
      <c r="J805">
        <v>24.5</v>
      </c>
      <c r="L805" t="s">
        <v>15</v>
      </c>
      <c r="M805" t="b">
        <v>0</v>
      </c>
      <c r="O805" s="1">
        <v>46197.351041666669</v>
      </c>
    </row>
    <row r="806" spans="1:15" x14ac:dyDescent="0.25">
      <c r="A806">
        <v>1782266684</v>
      </c>
      <c r="B806" t="s">
        <v>671</v>
      </c>
      <c r="C806" t="s">
        <v>650</v>
      </c>
      <c r="D806" t="s">
        <v>383</v>
      </c>
      <c r="E806" t="s">
        <v>336</v>
      </c>
      <c r="F806">
        <v>50</v>
      </c>
      <c r="K806" s="1">
        <v>46197.378275462965</v>
      </c>
      <c r="M806" t="b">
        <v>1</v>
      </c>
      <c r="N806" s="1">
        <v>46198.697627314818</v>
      </c>
      <c r="O806" s="1">
        <v>46197.378275462965</v>
      </c>
    </row>
    <row r="807" spans="1:15" x14ac:dyDescent="0.25">
      <c r="A807">
        <v>-2036248179</v>
      </c>
      <c r="B807" t="s">
        <v>671</v>
      </c>
      <c r="G807">
        <v>58</v>
      </c>
      <c r="H807" t="s">
        <v>32</v>
      </c>
      <c r="I807">
        <v>850</v>
      </c>
      <c r="J807">
        <v>6.2</v>
      </c>
      <c r="L807" t="s">
        <v>15</v>
      </c>
      <c r="M807" t="b">
        <v>0</v>
      </c>
      <c r="O807" s="1">
        <v>46197.378275462965</v>
      </c>
    </row>
    <row r="808" spans="1:15" x14ac:dyDescent="0.25">
      <c r="A808">
        <v>-69205046</v>
      </c>
      <c r="B808" t="s">
        <v>671</v>
      </c>
      <c r="G808">
        <v>41</v>
      </c>
      <c r="H808" t="s">
        <v>29</v>
      </c>
      <c r="I808">
        <v>200</v>
      </c>
      <c r="L808" t="s">
        <v>15</v>
      </c>
      <c r="M808" t="b">
        <v>0</v>
      </c>
      <c r="O808" s="1">
        <v>46197.378275462965</v>
      </c>
    </row>
    <row r="809" spans="1:15" x14ac:dyDescent="0.25">
      <c r="A809">
        <v>172500611</v>
      </c>
      <c r="B809" t="s">
        <v>671</v>
      </c>
      <c r="G809">
        <v>35</v>
      </c>
      <c r="H809" t="s">
        <v>36</v>
      </c>
      <c r="I809">
        <v>250</v>
      </c>
      <c r="L809" t="s">
        <v>15</v>
      </c>
      <c r="M809" t="b">
        <v>0</v>
      </c>
      <c r="O809" s="1">
        <v>46197.378275462965</v>
      </c>
    </row>
    <row r="810" spans="1:15" x14ac:dyDescent="0.25">
      <c r="A810">
        <v>-217549048</v>
      </c>
      <c r="B810" t="s">
        <v>671</v>
      </c>
      <c r="G810">
        <v>44</v>
      </c>
      <c r="H810" t="s">
        <v>16</v>
      </c>
      <c r="I810">
        <v>25</v>
      </c>
      <c r="L810" t="s">
        <v>15</v>
      </c>
      <c r="M810" t="b">
        <v>0</v>
      </c>
      <c r="O810" s="1">
        <v>46197.378275462965</v>
      </c>
    </row>
    <row r="811" spans="1:15" x14ac:dyDescent="0.25">
      <c r="A811">
        <v>1782266901</v>
      </c>
      <c r="B811" t="s">
        <v>672</v>
      </c>
      <c r="C811" t="s">
        <v>650</v>
      </c>
      <c r="D811" t="s">
        <v>383</v>
      </c>
      <c r="E811" t="s">
        <v>336</v>
      </c>
      <c r="F811">
        <v>50</v>
      </c>
      <c r="K811" s="1">
        <v>46197.380798611113</v>
      </c>
      <c r="M811" t="b">
        <v>1</v>
      </c>
      <c r="N811" s="1">
        <v>46198.697627314818</v>
      </c>
      <c r="O811" s="1">
        <v>46197.380798611113</v>
      </c>
    </row>
    <row r="812" spans="1:15" x14ac:dyDescent="0.25">
      <c r="A812">
        <v>1084517810</v>
      </c>
      <c r="B812" t="s">
        <v>672</v>
      </c>
      <c r="G812">
        <v>58</v>
      </c>
      <c r="H812" t="s">
        <v>32</v>
      </c>
      <c r="I812">
        <v>850</v>
      </c>
      <c r="J812">
        <v>853.4</v>
      </c>
      <c r="L812" t="s">
        <v>12</v>
      </c>
      <c r="M812" t="b">
        <v>0</v>
      </c>
      <c r="O812" s="1">
        <v>46197.380798611113</v>
      </c>
    </row>
    <row r="813" spans="1:15" x14ac:dyDescent="0.25">
      <c r="A813">
        <v>-1980418997</v>
      </c>
      <c r="B813" t="s">
        <v>672</v>
      </c>
      <c r="G813">
        <v>41</v>
      </c>
      <c r="H813" t="s">
        <v>29</v>
      </c>
      <c r="I813">
        <v>200</v>
      </c>
      <c r="J813">
        <v>199.2</v>
      </c>
      <c r="L813" t="s">
        <v>12</v>
      </c>
      <c r="M813" t="b">
        <v>0</v>
      </c>
      <c r="O813" s="1">
        <v>46197.380798611113</v>
      </c>
    </row>
    <row r="814" spans="1:15" x14ac:dyDescent="0.25">
      <c r="A814">
        <v>1758827312</v>
      </c>
      <c r="B814" t="s">
        <v>672</v>
      </c>
      <c r="G814">
        <v>35</v>
      </c>
      <c r="H814" t="s">
        <v>36</v>
      </c>
      <c r="I814">
        <v>250</v>
      </c>
      <c r="J814">
        <v>251.4</v>
      </c>
      <c r="L814" t="s">
        <v>12</v>
      </c>
      <c r="M814" t="b">
        <v>0</v>
      </c>
      <c r="O814" s="1">
        <v>46197.380798611113</v>
      </c>
    </row>
    <row r="815" spans="1:15" x14ac:dyDescent="0.25">
      <c r="A815">
        <v>734527345</v>
      </c>
      <c r="B815" t="s">
        <v>672</v>
      </c>
      <c r="G815">
        <v>44</v>
      </c>
      <c r="H815" t="s">
        <v>16</v>
      </c>
      <c r="I815">
        <v>25</v>
      </c>
      <c r="J815">
        <v>25.1</v>
      </c>
      <c r="L815" t="s">
        <v>12</v>
      </c>
      <c r="M815" t="b">
        <v>0</v>
      </c>
      <c r="O815" s="1">
        <v>46197.380798611113</v>
      </c>
    </row>
    <row r="816" spans="1:15" x14ac:dyDescent="0.25">
      <c r="A816">
        <v>1782273101</v>
      </c>
      <c r="B816" t="s">
        <v>673</v>
      </c>
      <c r="C816" t="s">
        <v>650</v>
      </c>
      <c r="D816" t="s">
        <v>383</v>
      </c>
      <c r="E816" t="s">
        <v>336</v>
      </c>
      <c r="F816">
        <v>50</v>
      </c>
      <c r="K816" s="1">
        <v>46197.452557870369</v>
      </c>
      <c r="M816" t="b">
        <v>1</v>
      </c>
      <c r="N816" s="1">
        <v>46198.697627314818</v>
      </c>
      <c r="O816" s="1">
        <v>46197.452557870369</v>
      </c>
    </row>
    <row r="817" spans="1:15" x14ac:dyDescent="0.25">
      <c r="A817">
        <v>1282080650</v>
      </c>
      <c r="B817" t="s">
        <v>673</v>
      </c>
      <c r="G817">
        <v>58</v>
      </c>
      <c r="H817" t="s">
        <v>32</v>
      </c>
      <c r="I817">
        <v>680</v>
      </c>
      <c r="J817">
        <v>679.8</v>
      </c>
      <c r="L817" t="s">
        <v>12</v>
      </c>
      <c r="M817" t="b">
        <v>0</v>
      </c>
      <c r="O817" s="1">
        <v>46197.452557870369</v>
      </c>
    </row>
    <row r="818" spans="1:15" x14ac:dyDescent="0.25">
      <c r="A818">
        <v>1088743235</v>
      </c>
      <c r="B818" t="s">
        <v>673</v>
      </c>
      <c r="G818">
        <v>41</v>
      </c>
      <c r="H818" t="s">
        <v>29</v>
      </c>
      <c r="I818">
        <v>140</v>
      </c>
      <c r="J818">
        <v>140.69999999999999</v>
      </c>
      <c r="L818" t="s">
        <v>12</v>
      </c>
      <c r="M818" t="b">
        <v>0</v>
      </c>
      <c r="O818" s="1">
        <v>46197.452557870369</v>
      </c>
    </row>
    <row r="819" spans="1:15" x14ac:dyDescent="0.25">
      <c r="A819">
        <v>-775759672</v>
      </c>
      <c r="B819" t="s">
        <v>673</v>
      </c>
      <c r="G819">
        <v>35</v>
      </c>
      <c r="H819" t="s">
        <v>36</v>
      </c>
      <c r="I819">
        <v>200</v>
      </c>
      <c r="J819">
        <v>201</v>
      </c>
      <c r="L819" t="s">
        <v>12</v>
      </c>
      <c r="M819" t="b">
        <v>0</v>
      </c>
      <c r="O819" s="1">
        <v>46197.452557870369</v>
      </c>
    </row>
    <row r="820" spans="1:15" x14ac:dyDescent="0.25">
      <c r="A820">
        <v>939772713</v>
      </c>
      <c r="B820" t="s">
        <v>673</v>
      </c>
      <c r="G820">
        <v>44</v>
      </c>
      <c r="H820" t="s">
        <v>16</v>
      </c>
      <c r="I820">
        <v>20</v>
      </c>
      <c r="J820">
        <v>20.8</v>
      </c>
      <c r="L820" t="s">
        <v>15</v>
      </c>
      <c r="M820" t="b">
        <v>0</v>
      </c>
      <c r="O820" s="1">
        <v>46197.452557870369</v>
      </c>
    </row>
    <row r="821" spans="1:15" x14ac:dyDescent="0.25">
      <c r="A821">
        <v>1782273448</v>
      </c>
      <c r="B821" t="s">
        <v>674</v>
      </c>
      <c r="C821" t="s">
        <v>668</v>
      </c>
      <c r="D821" t="s">
        <v>669</v>
      </c>
      <c r="E821" t="s">
        <v>336</v>
      </c>
      <c r="F821">
        <v>50</v>
      </c>
      <c r="K821" s="1">
        <v>46197.456574074073</v>
      </c>
      <c r="M821" t="b">
        <v>1</v>
      </c>
      <c r="N821" s="1">
        <v>46198.697627314818</v>
      </c>
      <c r="O821" s="1">
        <v>46197.456574074073</v>
      </c>
    </row>
    <row r="822" spans="1:15" x14ac:dyDescent="0.25">
      <c r="A822">
        <v>493026953</v>
      </c>
      <c r="B822" t="s">
        <v>674</v>
      </c>
      <c r="G822">
        <v>41</v>
      </c>
      <c r="H822" t="s">
        <v>29</v>
      </c>
      <c r="I822">
        <v>1000</v>
      </c>
      <c r="J822">
        <v>1010</v>
      </c>
      <c r="L822" t="s">
        <v>15</v>
      </c>
      <c r="M822" t="b">
        <v>0</v>
      </c>
      <c r="O822" s="1">
        <v>46197.456574074073</v>
      </c>
    </row>
    <row r="823" spans="1:15" x14ac:dyDescent="0.25">
      <c r="A823">
        <v>-799681514</v>
      </c>
      <c r="B823" t="s">
        <v>674</v>
      </c>
      <c r="G823">
        <v>58</v>
      </c>
      <c r="H823" t="s">
        <v>32</v>
      </c>
      <c r="I823">
        <v>550</v>
      </c>
      <c r="J823">
        <v>551.79999999999995</v>
      </c>
      <c r="L823" t="s">
        <v>12</v>
      </c>
      <c r="M823" t="b">
        <v>0</v>
      </c>
      <c r="O823" s="1">
        <v>46197.456574074073</v>
      </c>
    </row>
    <row r="824" spans="1:15" x14ac:dyDescent="0.25">
      <c r="A824">
        <v>-752743457</v>
      </c>
      <c r="B824" t="s">
        <v>674</v>
      </c>
      <c r="G824">
        <v>35</v>
      </c>
      <c r="H824" t="s">
        <v>36</v>
      </c>
      <c r="I824">
        <v>32</v>
      </c>
      <c r="J824">
        <v>33.700000000000003</v>
      </c>
      <c r="L824" t="s">
        <v>15</v>
      </c>
      <c r="M824" t="b">
        <v>0</v>
      </c>
      <c r="O824" s="1">
        <v>46197.456574074073</v>
      </c>
    </row>
    <row r="825" spans="1:15" x14ac:dyDescent="0.25">
      <c r="A825">
        <v>-1872334796</v>
      </c>
      <c r="B825" t="s">
        <v>674</v>
      </c>
      <c r="G825">
        <v>16</v>
      </c>
      <c r="H825" t="s">
        <v>13</v>
      </c>
      <c r="I825">
        <v>25</v>
      </c>
      <c r="J825">
        <v>24.8</v>
      </c>
      <c r="L825" t="s">
        <v>12</v>
      </c>
      <c r="M825" t="b">
        <v>0</v>
      </c>
      <c r="O825" s="1">
        <v>46197.456574074073</v>
      </c>
    </row>
    <row r="826" spans="1:15" x14ac:dyDescent="0.25">
      <c r="A826">
        <v>1782274730</v>
      </c>
      <c r="B826" t="s">
        <v>675</v>
      </c>
      <c r="C826" t="s">
        <v>666</v>
      </c>
      <c r="D826" t="s">
        <v>619</v>
      </c>
      <c r="E826" t="s">
        <v>340</v>
      </c>
      <c r="F826">
        <v>120</v>
      </c>
      <c r="K826" s="1">
        <v>46197.471412037034</v>
      </c>
      <c r="M826" t="b">
        <v>1</v>
      </c>
      <c r="N826" s="1">
        <v>46198.697627314818</v>
      </c>
      <c r="O826" s="1">
        <v>46197.471412037034</v>
      </c>
    </row>
    <row r="827" spans="1:15" x14ac:dyDescent="0.25">
      <c r="A827">
        <v>-664556573</v>
      </c>
      <c r="B827" t="s">
        <v>675</v>
      </c>
      <c r="G827">
        <v>41</v>
      </c>
      <c r="H827" t="s">
        <v>29</v>
      </c>
      <c r="I827">
        <v>1530</v>
      </c>
      <c r="J827">
        <v>1544.6</v>
      </c>
      <c r="L827" t="s">
        <v>12</v>
      </c>
      <c r="M827" t="b">
        <v>0</v>
      </c>
      <c r="O827" s="1">
        <v>46197.471412037034</v>
      </c>
    </row>
    <row r="828" spans="1:15" x14ac:dyDescent="0.25">
      <c r="A828">
        <v>1605576936</v>
      </c>
      <c r="B828" t="s">
        <v>675</v>
      </c>
      <c r="G828">
        <v>35</v>
      </c>
      <c r="H828" t="s">
        <v>36</v>
      </c>
      <c r="I828">
        <v>92</v>
      </c>
      <c r="J828">
        <v>93</v>
      </c>
      <c r="L828" t="s">
        <v>15</v>
      </c>
      <c r="M828" t="b">
        <v>0</v>
      </c>
      <c r="O828" s="1">
        <v>46197.471412037034</v>
      </c>
    </row>
    <row r="829" spans="1:15" x14ac:dyDescent="0.25">
      <c r="A829">
        <v>2067701961</v>
      </c>
      <c r="B829" t="s">
        <v>675</v>
      </c>
      <c r="G829">
        <v>44</v>
      </c>
      <c r="H829" t="s">
        <v>16</v>
      </c>
      <c r="I829">
        <v>102</v>
      </c>
      <c r="J829">
        <v>100.4</v>
      </c>
      <c r="L829" t="s">
        <v>15</v>
      </c>
      <c r="M829" t="b">
        <v>0</v>
      </c>
      <c r="O829" s="1">
        <v>46197.471412037034</v>
      </c>
    </row>
    <row r="830" spans="1:15" x14ac:dyDescent="0.25">
      <c r="A830">
        <v>1782274959</v>
      </c>
      <c r="B830" t="s">
        <v>676</v>
      </c>
      <c r="C830" t="s">
        <v>677</v>
      </c>
      <c r="D830" t="s">
        <v>678</v>
      </c>
      <c r="E830" t="s">
        <v>340</v>
      </c>
      <c r="F830">
        <v>50</v>
      </c>
      <c r="K830" s="1">
        <v>46197.474062499998</v>
      </c>
      <c r="M830" t="b">
        <v>1</v>
      </c>
      <c r="N830" s="1">
        <v>46198.697627314818</v>
      </c>
      <c r="O830" s="1">
        <v>46197.474062499998</v>
      </c>
    </row>
    <row r="831" spans="1:15" x14ac:dyDescent="0.25">
      <c r="A831">
        <v>1500615204</v>
      </c>
      <c r="B831" t="s">
        <v>676</v>
      </c>
      <c r="G831">
        <v>41</v>
      </c>
      <c r="H831" t="s">
        <v>29</v>
      </c>
      <c r="I831">
        <v>550</v>
      </c>
      <c r="J831">
        <v>548.9</v>
      </c>
      <c r="L831" t="s">
        <v>12</v>
      </c>
      <c r="M831" t="b">
        <v>0</v>
      </c>
      <c r="O831" s="1">
        <v>46197.474062499998</v>
      </c>
    </row>
    <row r="832" spans="1:15" x14ac:dyDescent="0.25">
      <c r="A832">
        <v>-1757214635</v>
      </c>
      <c r="B832" t="s">
        <v>676</v>
      </c>
      <c r="G832">
        <v>35</v>
      </c>
      <c r="H832" t="s">
        <v>36</v>
      </c>
      <c r="I832">
        <v>8.5</v>
      </c>
      <c r="J832">
        <v>7.6</v>
      </c>
      <c r="L832" t="s">
        <v>15</v>
      </c>
      <c r="M832" t="b">
        <v>0</v>
      </c>
      <c r="O832" s="1">
        <v>46197.474062499998</v>
      </c>
    </row>
    <row r="833" spans="1:15" x14ac:dyDescent="0.25">
      <c r="A833">
        <v>-58403598</v>
      </c>
      <c r="B833" t="s">
        <v>676</v>
      </c>
      <c r="G833">
        <v>44</v>
      </c>
      <c r="H833" t="s">
        <v>16</v>
      </c>
      <c r="I833">
        <v>15</v>
      </c>
      <c r="J833">
        <v>13.2</v>
      </c>
      <c r="L833" t="s">
        <v>15</v>
      </c>
      <c r="M833" t="b">
        <v>0</v>
      </c>
      <c r="O833" s="1">
        <v>46197.474062499998</v>
      </c>
    </row>
    <row r="834" spans="1:15" x14ac:dyDescent="0.25">
      <c r="A834">
        <v>1782275177</v>
      </c>
      <c r="B834" t="s">
        <v>679</v>
      </c>
      <c r="C834" t="s">
        <v>680</v>
      </c>
      <c r="D834" t="s">
        <v>616</v>
      </c>
      <c r="E834" t="s">
        <v>364</v>
      </c>
      <c r="F834">
        <v>450</v>
      </c>
      <c r="K834" s="1">
        <v>46197.476585648146</v>
      </c>
      <c r="M834" t="b">
        <v>1</v>
      </c>
      <c r="N834" s="1">
        <v>46198.697627314818</v>
      </c>
      <c r="O834" s="1">
        <v>46197.476585648146</v>
      </c>
    </row>
    <row r="835" spans="1:15" x14ac:dyDescent="0.25">
      <c r="A835">
        <v>-826960778</v>
      </c>
      <c r="B835" t="s">
        <v>679</v>
      </c>
      <c r="G835">
        <v>41</v>
      </c>
      <c r="H835" t="s">
        <v>29</v>
      </c>
      <c r="I835">
        <v>2250</v>
      </c>
      <c r="J835">
        <v>2248.6</v>
      </c>
      <c r="L835" t="s">
        <v>12</v>
      </c>
      <c r="M835" t="b">
        <v>0</v>
      </c>
      <c r="O835" s="1">
        <v>46197.476585648146</v>
      </c>
    </row>
    <row r="836" spans="1:15" x14ac:dyDescent="0.25">
      <c r="A836">
        <v>1782275703</v>
      </c>
      <c r="B836" t="s">
        <v>681</v>
      </c>
      <c r="C836" t="s">
        <v>682</v>
      </c>
      <c r="D836" t="s">
        <v>613</v>
      </c>
      <c r="E836" t="s">
        <v>340</v>
      </c>
      <c r="F836">
        <v>250</v>
      </c>
      <c r="K836" s="1">
        <v>46197.482673611114</v>
      </c>
      <c r="M836" t="b">
        <v>1</v>
      </c>
      <c r="N836" s="1">
        <v>46198.697627314818</v>
      </c>
      <c r="O836" s="1">
        <v>46197.482673611114</v>
      </c>
    </row>
    <row r="837" spans="1:15" x14ac:dyDescent="0.25">
      <c r="A837">
        <v>-1911651092</v>
      </c>
      <c r="B837" t="s">
        <v>681</v>
      </c>
      <c r="G837">
        <v>41</v>
      </c>
      <c r="H837" t="s">
        <v>29</v>
      </c>
      <c r="I837">
        <v>2500</v>
      </c>
      <c r="J837">
        <v>0.8</v>
      </c>
      <c r="L837" t="s">
        <v>15</v>
      </c>
      <c r="M837" t="b">
        <v>0</v>
      </c>
      <c r="O837" s="1">
        <v>46197.482673611114</v>
      </c>
    </row>
    <row r="838" spans="1:15" x14ac:dyDescent="0.25">
      <c r="A838">
        <v>-1560713859</v>
      </c>
      <c r="B838" t="s">
        <v>681</v>
      </c>
      <c r="G838">
        <v>35</v>
      </c>
      <c r="H838" t="s">
        <v>36</v>
      </c>
      <c r="I838">
        <v>405</v>
      </c>
      <c r="J838">
        <v>406.2</v>
      </c>
      <c r="L838" t="s">
        <v>12</v>
      </c>
      <c r="M838" t="b">
        <v>0</v>
      </c>
      <c r="O838" s="1">
        <v>46197.482673611114</v>
      </c>
    </row>
    <row r="839" spans="1:15" x14ac:dyDescent="0.25">
      <c r="A839">
        <v>1699030266</v>
      </c>
      <c r="B839" t="s">
        <v>681</v>
      </c>
      <c r="G839">
        <v>11</v>
      </c>
      <c r="H839" t="s">
        <v>33</v>
      </c>
      <c r="I839">
        <v>49.5</v>
      </c>
      <c r="J839">
        <v>48.9</v>
      </c>
      <c r="L839" t="s">
        <v>15</v>
      </c>
      <c r="M839" t="b">
        <v>0</v>
      </c>
      <c r="O839" s="1">
        <v>46197.482673611114</v>
      </c>
    </row>
    <row r="840" spans="1:15" x14ac:dyDescent="0.25">
      <c r="A840">
        <v>1782276813</v>
      </c>
      <c r="B840" t="s">
        <v>683</v>
      </c>
      <c r="C840" t="s">
        <v>682</v>
      </c>
      <c r="D840" t="s">
        <v>613</v>
      </c>
      <c r="E840" t="s">
        <v>340</v>
      </c>
      <c r="F840">
        <v>250</v>
      </c>
      <c r="K840" s="1">
        <v>46197.495520833334</v>
      </c>
      <c r="M840" t="b">
        <v>1</v>
      </c>
      <c r="N840" s="1">
        <v>46198.697627314818</v>
      </c>
      <c r="O840" s="1">
        <v>46197.495520833334</v>
      </c>
    </row>
    <row r="841" spans="1:15" x14ac:dyDescent="0.25">
      <c r="A841">
        <v>2037681162</v>
      </c>
      <c r="B841" t="s">
        <v>683</v>
      </c>
      <c r="G841">
        <v>41</v>
      </c>
      <c r="H841" t="s">
        <v>29</v>
      </c>
      <c r="I841">
        <v>2500</v>
      </c>
      <c r="J841">
        <v>2505</v>
      </c>
      <c r="L841" t="s">
        <v>12</v>
      </c>
      <c r="M841" t="b">
        <v>0</v>
      </c>
      <c r="O841" s="1">
        <v>46197.495520833334</v>
      </c>
    </row>
    <row r="842" spans="1:15" x14ac:dyDescent="0.25">
      <c r="A842">
        <v>1607309763</v>
      </c>
      <c r="B842" t="s">
        <v>683</v>
      </c>
      <c r="G842">
        <v>35</v>
      </c>
      <c r="H842" t="s">
        <v>36</v>
      </c>
      <c r="I842">
        <v>405</v>
      </c>
      <c r="L842" t="s">
        <v>15</v>
      </c>
      <c r="M842" t="b">
        <v>0</v>
      </c>
      <c r="O842" s="1">
        <v>46197.495520833334</v>
      </c>
    </row>
    <row r="843" spans="1:15" x14ac:dyDescent="0.25">
      <c r="A843">
        <v>1896429896</v>
      </c>
      <c r="B843" t="s">
        <v>683</v>
      </c>
      <c r="G843">
        <v>11</v>
      </c>
      <c r="H843" t="s">
        <v>33</v>
      </c>
      <c r="I843">
        <v>49.5</v>
      </c>
      <c r="L843" t="s">
        <v>15</v>
      </c>
      <c r="M843" t="b">
        <v>0</v>
      </c>
      <c r="O843" s="1">
        <v>46197.495520833334</v>
      </c>
    </row>
    <row r="844" spans="1:15" x14ac:dyDescent="0.25">
      <c r="A844">
        <v>1782277259</v>
      </c>
      <c r="B844" t="s">
        <v>684</v>
      </c>
      <c r="C844" t="s">
        <v>424</v>
      </c>
      <c r="D844" t="s">
        <v>685</v>
      </c>
      <c r="E844" t="s">
        <v>340</v>
      </c>
      <c r="F844">
        <v>450</v>
      </c>
      <c r="K844" s="1">
        <v>46197.50068287037</v>
      </c>
      <c r="M844" t="b">
        <v>1</v>
      </c>
      <c r="N844" s="1">
        <v>46198.697627314818</v>
      </c>
      <c r="O844" s="1">
        <v>46197.50068287037</v>
      </c>
    </row>
    <row r="845" spans="1:15" x14ac:dyDescent="0.25">
      <c r="A845">
        <v>-1266315664</v>
      </c>
      <c r="B845" t="s">
        <v>684</v>
      </c>
      <c r="G845">
        <v>41</v>
      </c>
      <c r="H845" t="s">
        <v>29</v>
      </c>
      <c r="I845">
        <v>6525</v>
      </c>
      <c r="J845">
        <v>6464.4</v>
      </c>
      <c r="L845" t="s">
        <v>12</v>
      </c>
      <c r="M845" t="b">
        <v>0</v>
      </c>
      <c r="O845" s="1">
        <v>46197.50068287037</v>
      </c>
    </row>
    <row r="846" spans="1:15" x14ac:dyDescent="0.25">
      <c r="A846">
        <v>628271537</v>
      </c>
      <c r="B846" t="s">
        <v>684</v>
      </c>
      <c r="G846">
        <v>66</v>
      </c>
      <c r="H846" t="s">
        <v>200</v>
      </c>
      <c r="I846">
        <v>1350</v>
      </c>
      <c r="J846">
        <v>1349</v>
      </c>
      <c r="L846" t="s">
        <v>12</v>
      </c>
      <c r="M846" t="b">
        <v>0</v>
      </c>
      <c r="O846" s="1">
        <v>46197.50068287037</v>
      </c>
    </row>
    <row r="847" spans="1:15" x14ac:dyDescent="0.25">
      <c r="A847">
        <v>1356651038</v>
      </c>
      <c r="B847" t="s">
        <v>684</v>
      </c>
      <c r="G847">
        <v>16</v>
      </c>
      <c r="H847" t="s">
        <v>13</v>
      </c>
      <c r="I847">
        <v>585</v>
      </c>
      <c r="J847">
        <v>582.70000000000005</v>
      </c>
      <c r="L847" t="s">
        <v>12</v>
      </c>
      <c r="M847" t="b">
        <v>0</v>
      </c>
      <c r="O847" s="1">
        <v>46197.50068287037</v>
      </c>
    </row>
    <row r="848" spans="1:15" x14ac:dyDescent="0.25">
      <c r="A848">
        <v>1782277572</v>
      </c>
      <c r="B848" t="s">
        <v>686</v>
      </c>
      <c r="C848" t="s">
        <v>650</v>
      </c>
      <c r="D848" t="s">
        <v>383</v>
      </c>
      <c r="E848" t="s">
        <v>336</v>
      </c>
      <c r="F848">
        <v>50</v>
      </c>
      <c r="K848" s="1">
        <v>46197.504293981481</v>
      </c>
      <c r="M848" t="b">
        <v>1</v>
      </c>
      <c r="N848" s="1">
        <v>46198.697627314818</v>
      </c>
      <c r="O848" s="1">
        <v>46197.504293981481</v>
      </c>
    </row>
    <row r="849" spans="1:15" x14ac:dyDescent="0.25">
      <c r="A849">
        <v>-1495336075</v>
      </c>
      <c r="B849" t="s">
        <v>686</v>
      </c>
      <c r="G849">
        <v>58</v>
      </c>
      <c r="H849" t="s">
        <v>32</v>
      </c>
      <c r="I849">
        <v>680</v>
      </c>
      <c r="J849">
        <v>679</v>
      </c>
      <c r="L849" t="s">
        <v>12</v>
      </c>
      <c r="M849" t="b">
        <v>0</v>
      </c>
      <c r="O849" s="1">
        <v>46197.504293981481</v>
      </c>
    </row>
    <row r="850" spans="1:15" x14ac:dyDescent="0.25">
      <c r="A850">
        <v>-10661486</v>
      </c>
      <c r="B850" t="s">
        <v>686</v>
      </c>
      <c r="G850">
        <v>41</v>
      </c>
      <c r="H850" t="s">
        <v>29</v>
      </c>
      <c r="I850">
        <v>140</v>
      </c>
      <c r="J850">
        <v>136.4</v>
      </c>
      <c r="L850" t="s">
        <v>15</v>
      </c>
      <c r="M850" t="b">
        <v>0</v>
      </c>
      <c r="O850" s="1">
        <v>46197.504293981481</v>
      </c>
    </row>
    <row r="851" spans="1:15" x14ac:dyDescent="0.25">
      <c r="A851">
        <v>-986676565</v>
      </c>
      <c r="B851" t="s">
        <v>686</v>
      </c>
      <c r="G851">
        <v>35</v>
      </c>
      <c r="H851" t="s">
        <v>36</v>
      </c>
      <c r="I851">
        <v>150</v>
      </c>
      <c r="J851">
        <v>148.30000000000001</v>
      </c>
      <c r="L851" t="s">
        <v>15</v>
      </c>
      <c r="M851" t="b">
        <v>0</v>
      </c>
      <c r="O851" s="1">
        <v>46197.504293981481</v>
      </c>
    </row>
    <row r="852" spans="1:15" x14ac:dyDescent="0.25">
      <c r="A852">
        <v>-760440304</v>
      </c>
      <c r="B852" t="s">
        <v>686</v>
      </c>
      <c r="G852">
        <v>44</v>
      </c>
      <c r="H852" t="s">
        <v>16</v>
      </c>
      <c r="I852">
        <v>20</v>
      </c>
      <c r="J852">
        <v>18.8</v>
      </c>
      <c r="L852" t="s">
        <v>15</v>
      </c>
      <c r="M852" t="b">
        <v>0</v>
      </c>
      <c r="O852" s="1">
        <v>46197.504293981481</v>
      </c>
    </row>
    <row r="853" spans="1:15" x14ac:dyDescent="0.25">
      <c r="A853">
        <v>1782279749</v>
      </c>
      <c r="B853" t="s">
        <v>687</v>
      </c>
      <c r="C853" t="s">
        <v>688</v>
      </c>
      <c r="D853" t="s">
        <v>371</v>
      </c>
      <c r="E853" t="s">
        <v>364</v>
      </c>
      <c r="F853">
        <v>450</v>
      </c>
      <c r="K853" s="1">
        <v>46197.529490740744</v>
      </c>
      <c r="M853" t="b">
        <v>1</v>
      </c>
      <c r="N853" s="1">
        <v>46198.697627314818</v>
      </c>
      <c r="O853" s="1">
        <v>46197.529490740744</v>
      </c>
    </row>
    <row r="854" spans="1:15" x14ac:dyDescent="0.25">
      <c r="A854">
        <v>163864610</v>
      </c>
      <c r="B854" t="s">
        <v>687</v>
      </c>
      <c r="G854">
        <v>41</v>
      </c>
      <c r="H854" t="s">
        <v>29</v>
      </c>
      <c r="I854">
        <v>2700</v>
      </c>
      <c r="J854">
        <v>2703.4</v>
      </c>
      <c r="L854" t="s">
        <v>12</v>
      </c>
      <c r="M854" t="b">
        <v>0</v>
      </c>
      <c r="O854" s="1">
        <v>46197.529490740744</v>
      </c>
    </row>
    <row r="855" spans="1:15" x14ac:dyDescent="0.25">
      <c r="A855">
        <v>73626107</v>
      </c>
      <c r="B855" t="s">
        <v>687</v>
      </c>
      <c r="G855">
        <v>35</v>
      </c>
      <c r="H855" t="s">
        <v>36</v>
      </c>
      <c r="I855">
        <v>360</v>
      </c>
      <c r="J855">
        <v>364.1</v>
      </c>
      <c r="L855" t="s">
        <v>15</v>
      </c>
      <c r="M855" t="b">
        <v>0</v>
      </c>
      <c r="O855" s="1">
        <v>46197.529490740744</v>
      </c>
    </row>
    <row r="856" spans="1:15" x14ac:dyDescent="0.25">
      <c r="A856">
        <v>-173896928</v>
      </c>
      <c r="B856" t="s">
        <v>687</v>
      </c>
      <c r="G856">
        <v>44</v>
      </c>
      <c r="H856" t="s">
        <v>16</v>
      </c>
      <c r="I856">
        <v>34.200000000000003</v>
      </c>
      <c r="J856">
        <v>35</v>
      </c>
      <c r="L856" t="s">
        <v>15</v>
      </c>
      <c r="M856" t="b">
        <v>0</v>
      </c>
      <c r="O856" s="1">
        <v>46197.529490740744</v>
      </c>
    </row>
    <row r="857" spans="1:15" x14ac:dyDescent="0.25">
      <c r="A857">
        <v>1782284256</v>
      </c>
      <c r="B857" t="s">
        <v>689</v>
      </c>
      <c r="C857" t="s">
        <v>682</v>
      </c>
      <c r="D857" t="s">
        <v>613</v>
      </c>
      <c r="E857" t="s">
        <v>313</v>
      </c>
      <c r="F857">
        <v>250</v>
      </c>
      <c r="K857" s="1">
        <v>46197.581666666665</v>
      </c>
      <c r="M857" t="b">
        <v>1</v>
      </c>
      <c r="N857" s="1">
        <v>46198.697627314818</v>
      </c>
      <c r="O857" s="1">
        <v>46197.581666666665</v>
      </c>
    </row>
    <row r="858" spans="1:15" x14ac:dyDescent="0.25">
      <c r="A858">
        <v>-1185367455</v>
      </c>
      <c r="B858" t="s">
        <v>689</v>
      </c>
      <c r="G858">
        <v>41</v>
      </c>
      <c r="H858" t="s">
        <v>29</v>
      </c>
      <c r="I858">
        <v>2500</v>
      </c>
      <c r="J858">
        <v>2505.8000000000002</v>
      </c>
      <c r="L858" t="s">
        <v>12</v>
      </c>
      <c r="M858" t="b">
        <v>0</v>
      </c>
      <c r="O858" s="1">
        <v>46197.581666666665</v>
      </c>
    </row>
    <row r="859" spans="1:15" x14ac:dyDescent="0.25">
      <c r="A859">
        <v>-1085544178</v>
      </c>
      <c r="B859" t="s">
        <v>689</v>
      </c>
      <c r="G859">
        <v>35</v>
      </c>
      <c r="H859" t="s">
        <v>36</v>
      </c>
      <c r="I859">
        <v>445</v>
      </c>
      <c r="J859">
        <v>441.4</v>
      </c>
      <c r="L859" t="s">
        <v>12</v>
      </c>
      <c r="M859" t="b">
        <v>0</v>
      </c>
      <c r="O859" s="1">
        <v>46197.581666666665</v>
      </c>
    </row>
    <row r="860" spans="1:15" x14ac:dyDescent="0.25">
      <c r="A860">
        <v>1362791287</v>
      </c>
      <c r="B860" t="s">
        <v>689</v>
      </c>
      <c r="G860">
        <v>11</v>
      </c>
      <c r="H860" t="s">
        <v>33</v>
      </c>
      <c r="I860">
        <v>58</v>
      </c>
      <c r="J860">
        <v>58.9</v>
      </c>
      <c r="L860" t="s">
        <v>15</v>
      </c>
      <c r="M860" t="b">
        <v>0</v>
      </c>
      <c r="O860" s="1">
        <v>46197.581666666665</v>
      </c>
    </row>
    <row r="861" spans="1:15" x14ac:dyDescent="0.25">
      <c r="A861">
        <v>1782292392</v>
      </c>
      <c r="B861" t="s">
        <v>690</v>
      </c>
      <c r="C861" t="s">
        <v>424</v>
      </c>
      <c r="D861" t="s">
        <v>685</v>
      </c>
      <c r="E861" t="s">
        <v>340</v>
      </c>
      <c r="F861">
        <v>450</v>
      </c>
      <c r="K861" s="1">
        <v>46197.675833333335</v>
      </c>
      <c r="M861" t="b">
        <v>1</v>
      </c>
      <c r="N861" s="1">
        <v>46198.697627314818</v>
      </c>
      <c r="O861" s="1">
        <v>46197.675833333335</v>
      </c>
    </row>
    <row r="862" spans="1:15" x14ac:dyDescent="0.25">
      <c r="A862">
        <v>-538181495</v>
      </c>
      <c r="B862" t="s">
        <v>690</v>
      </c>
      <c r="G862">
        <v>41</v>
      </c>
      <c r="H862" t="s">
        <v>29</v>
      </c>
      <c r="I862">
        <v>6525</v>
      </c>
      <c r="J862">
        <v>6540.7</v>
      </c>
      <c r="L862" t="s">
        <v>12</v>
      </c>
      <c r="M862" t="b">
        <v>0</v>
      </c>
      <c r="O862" s="1">
        <v>46197.675833333335</v>
      </c>
    </row>
    <row r="863" spans="1:15" x14ac:dyDescent="0.25">
      <c r="A863">
        <v>-1707659754</v>
      </c>
      <c r="B863" t="s">
        <v>690</v>
      </c>
      <c r="G863">
        <v>66</v>
      </c>
      <c r="H863" t="s">
        <v>200</v>
      </c>
      <c r="I863">
        <v>1350</v>
      </c>
      <c r="J863">
        <v>1355.4</v>
      </c>
      <c r="L863" t="s">
        <v>12</v>
      </c>
      <c r="M863" t="b">
        <v>0</v>
      </c>
      <c r="O863" s="1">
        <v>46197.675833333335</v>
      </c>
    </row>
    <row r="864" spans="1:15" x14ac:dyDescent="0.25">
      <c r="A864">
        <v>1184554463</v>
      </c>
      <c r="B864" t="s">
        <v>690</v>
      </c>
      <c r="G864">
        <v>16</v>
      </c>
      <c r="H864" t="s">
        <v>13</v>
      </c>
      <c r="I864">
        <v>585</v>
      </c>
      <c r="J864">
        <v>590.29999999999995</v>
      </c>
      <c r="L864" t="s">
        <v>12</v>
      </c>
      <c r="M864" t="b">
        <v>0</v>
      </c>
      <c r="O864" s="1">
        <v>46197.675833333335</v>
      </c>
    </row>
    <row r="865" spans="1:15" x14ac:dyDescent="0.25">
      <c r="A865">
        <v>1782296196</v>
      </c>
      <c r="B865" t="s">
        <v>691</v>
      </c>
      <c r="C865" t="s">
        <v>385</v>
      </c>
      <c r="D865" t="s">
        <v>386</v>
      </c>
      <c r="E865" t="s">
        <v>313</v>
      </c>
      <c r="F865">
        <v>120</v>
      </c>
      <c r="K865" s="1">
        <v>46197.719861111109</v>
      </c>
      <c r="M865" t="b">
        <v>1</v>
      </c>
      <c r="N865" s="1">
        <v>46198.697627314818</v>
      </c>
      <c r="O865" s="1">
        <v>46197.719861111109</v>
      </c>
    </row>
    <row r="866" spans="1:15" x14ac:dyDescent="0.25">
      <c r="A866">
        <v>1481131317</v>
      </c>
      <c r="B866" t="s">
        <v>691</v>
      </c>
      <c r="G866">
        <v>41</v>
      </c>
      <c r="H866" t="s">
        <v>29</v>
      </c>
      <c r="I866">
        <v>1056</v>
      </c>
      <c r="J866">
        <v>1056.8</v>
      </c>
      <c r="L866" t="s">
        <v>12</v>
      </c>
      <c r="M866" t="b">
        <v>0</v>
      </c>
      <c r="O866" s="1">
        <v>46197.719861111109</v>
      </c>
    </row>
    <row r="867" spans="1:15" x14ac:dyDescent="0.25">
      <c r="A867">
        <v>1998702674</v>
      </c>
      <c r="B867" t="s">
        <v>691</v>
      </c>
      <c r="G867">
        <v>16</v>
      </c>
      <c r="H867" t="s">
        <v>13</v>
      </c>
      <c r="I867">
        <v>504</v>
      </c>
      <c r="J867">
        <v>500.8</v>
      </c>
      <c r="L867" t="s">
        <v>12</v>
      </c>
      <c r="M867" t="b">
        <v>0</v>
      </c>
      <c r="O867" s="1">
        <v>46197.719861111109</v>
      </c>
    </row>
    <row r="868" spans="1:15" x14ac:dyDescent="0.25">
      <c r="A868">
        <v>1164567147</v>
      </c>
      <c r="B868" t="s">
        <v>691</v>
      </c>
      <c r="G868">
        <v>40</v>
      </c>
      <c r="H868" t="s">
        <v>127</v>
      </c>
      <c r="I868">
        <v>420</v>
      </c>
      <c r="J868">
        <v>417.1</v>
      </c>
      <c r="L868" t="s">
        <v>12</v>
      </c>
      <c r="M868" t="b">
        <v>0</v>
      </c>
      <c r="O868" s="1">
        <v>46197.719861111109</v>
      </c>
    </row>
    <row r="869" spans="1:15" x14ac:dyDescent="0.25">
      <c r="A869">
        <v>415821520</v>
      </c>
      <c r="B869" t="s">
        <v>691</v>
      </c>
      <c r="G869">
        <v>59</v>
      </c>
      <c r="H869" t="s">
        <v>31</v>
      </c>
      <c r="I869">
        <v>36</v>
      </c>
      <c r="J869">
        <v>34.799999999999997</v>
      </c>
      <c r="L869" t="s">
        <v>15</v>
      </c>
      <c r="M869" t="b">
        <v>0</v>
      </c>
      <c r="O869" s="1">
        <v>46197.719861111109</v>
      </c>
    </row>
    <row r="870" spans="1:15" x14ac:dyDescent="0.25">
      <c r="A870">
        <v>1782296501</v>
      </c>
      <c r="B870" t="s">
        <v>692</v>
      </c>
      <c r="C870" t="s">
        <v>345</v>
      </c>
      <c r="D870" t="s">
        <v>437</v>
      </c>
      <c r="E870" t="s">
        <v>336</v>
      </c>
      <c r="F870">
        <v>100</v>
      </c>
      <c r="K870" s="1">
        <v>46197.723391203705</v>
      </c>
      <c r="M870" t="b">
        <v>1</v>
      </c>
      <c r="N870" s="1">
        <v>46198.697627314818</v>
      </c>
      <c r="O870" s="1">
        <v>46197.723391203705</v>
      </c>
    </row>
    <row r="871" spans="1:15" x14ac:dyDescent="0.25">
      <c r="A871">
        <v>1889173714</v>
      </c>
      <c r="B871" t="s">
        <v>692</v>
      </c>
      <c r="G871">
        <v>41</v>
      </c>
      <c r="H871" t="s">
        <v>29</v>
      </c>
      <c r="I871">
        <v>730</v>
      </c>
      <c r="J871">
        <v>735.3</v>
      </c>
      <c r="L871" t="s">
        <v>12</v>
      </c>
      <c r="M871" t="b">
        <v>0</v>
      </c>
      <c r="O871" s="1">
        <v>46197.723391203705</v>
      </c>
    </row>
    <row r="872" spans="1:15" x14ac:dyDescent="0.25">
      <c r="A872">
        <v>895832299</v>
      </c>
      <c r="B872" t="s">
        <v>692</v>
      </c>
      <c r="G872">
        <v>35</v>
      </c>
      <c r="H872" t="s">
        <v>36</v>
      </c>
      <c r="I872">
        <v>68</v>
      </c>
      <c r="J872">
        <v>68.8</v>
      </c>
      <c r="L872" t="s">
        <v>15</v>
      </c>
      <c r="M872" t="b">
        <v>0</v>
      </c>
      <c r="O872" s="1">
        <v>46197.723391203705</v>
      </c>
    </row>
    <row r="873" spans="1:15" x14ac:dyDescent="0.25">
      <c r="A873">
        <v>1296194384</v>
      </c>
      <c r="B873" t="s">
        <v>692</v>
      </c>
      <c r="G873">
        <v>44</v>
      </c>
      <c r="H873" t="s">
        <v>16</v>
      </c>
      <c r="I873">
        <v>48</v>
      </c>
      <c r="J873">
        <v>47.9</v>
      </c>
      <c r="L873" t="s">
        <v>12</v>
      </c>
      <c r="M873" t="b">
        <v>0</v>
      </c>
      <c r="O873" s="1">
        <v>46197.723391203705</v>
      </c>
    </row>
    <row r="874" spans="1:15" x14ac:dyDescent="0.25">
      <c r="A874">
        <v>1782303281</v>
      </c>
      <c r="B874" t="s">
        <v>693</v>
      </c>
      <c r="C874" t="s">
        <v>694</v>
      </c>
      <c r="D874" t="s">
        <v>695</v>
      </c>
      <c r="E874" t="s">
        <v>340</v>
      </c>
      <c r="F874">
        <v>450</v>
      </c>
      <c r="K874" s="1">
        <v>46197.801863425928</v>
      </c>
      <c r="M874" t="b">
        <v>1</v>
      </c>
      <c r="N874" s="1">
        <v>46198.697627314818</v>
      </c>
      <c r="O874" s="1">
        <v>46197.801863425928</v>
      </c>
    </row>
    <row r="875" spans="1:15" x14ac:dyDescent="0.25">
      <c r="A875">
        <v>-1150644066</v>
      </c>
      <c r="B875" t="s">
        <v>693</v>
      </c>
      <c r="G875">
        <v>41</v>
      </c>
      <c r="H875" t="s">
        <v>29</v>
      </c>
      <c r="I875">
        <v>3168</v>
      </c>
      <c r="J875">
        <v>3165</v>
      </c>
      <c r="L875" t="s">
        <v>12</v>
      </c>
      <c r="M875" t="b">
        <v>0</v>
      </c>
      <c r="O875" s="1">
        <v>46197.801863425928</v>
      </c>
    </row>
    <row r="876" spans="1:15" x14ac:dyDescent="0.25">
      <c r="A876">
        <v>1093230535</v>
      </c>
      <c r="B876" t="s">
        <v>693</v>
      </c>
      <c r="G876">
        <v>49</v>
      </c>
      <c r="H876" t="s">
        <v>181</v>
      </c>
      <c r="I876">
        <v>215.1</v>
      </c>
      <c r="J876">
        <v>216</v>
      </c>
      <c r="L876" t="s">
        <v>12</v>
      </c>
      <c r="M876" t="b">
        <v>0</v>
      </c>
      <c r="O876" s="1">
        <v>46197.801863425928</v>
      </c>
    </row>
    <row r="877" spans="1:15" x14ac:dyDescent="0.25">
      <c r="A877">
        <v>-283992068</v>
      </c>
      <c r="B877" t="s">
        <v>693</v>
      </c>
      <c r="G877">
        <v>51</v>
      </c>
      <c r="H877" t="s">
        <v>137</v>
      </c>
      <c r="I877">
        <v>679.5</v>
      </c>
      <c r="J877">
        <v>683.9</v>
      </c>
      <c r="L877" t="s">
        <v>12</v>
      </c>
      <c r="M877" t="b">
        <v>0</v>
      </c>
      <c r="O877" s="1">
        <v>46197.801863425928</v>
      </c>
    </row>
    <row r="878" spans="1:15" x14ac:dyDescent="0.25">
      <c r="A878">
        <v>1782304614</v>
      </c>
      <c r="B878" t="s">
        <v>696</v>
      </c>
      <c r="C878" t="s">
        <v>342</v>
      </c>
      <c r="D878" t="s">
        <v>343</v>
      </c>
      <c r="E878" t="s">
        <v>336</v>
      </c>
      <c r="F878">
        <v>120</v>
      </c>
      <c r="K878" s="1">
        <v>46197.817280092589</v>
      </c>
      <c r="M878" t="b">
        <v>1</v>
      </c>
      <c r="N878" s="1">
        <v>46198.697627314818</v>
      </c>
      <c r="O878" s="1">
        <v>46197.817280092589</v>
      </c>
    </row>
    <row r="879" spans="1:15" x14ac:dyDescent="0.25">
      <c r="A879">
        <v>-1000793873</v>
      </c>
      <c r="B879" t="s">
        <v>696</v>
      </c>
      <c r="G879">
        <v>41</v>
      </c>
      <c r="H879" t="s">
        <v>29</v>
      </c>
      <c r="I879">
        <v>1680</v>
      </c>
      <c r="J879">
        <v>1691.4</v>
      </c>
      <c r="L879" t="s">
        <v>12</v>
      </c>
      <c r="M879" t="b">
        <v>0</v>
      </c>
      <c r="O879" s="1">
        <v>46197.817280092589</v>
      </c>
    </row>
    <row r="880" spans="1:15" x14ac:dyDescent="0.25">
      <c r="A880">
        <v>1624251396</v>
      </c>
      <c r="B880" t="s">
        <v>696</v>
      </c>
      <c r="G880">
        <v>35</v>
      </c>
      <c r="H880" t="s">
        <v>36</v>
      </c>
      <c r="I880">
        <v>300</v>
      </c>
      <c r="J880">
        <v>302.60000000000002</v>
      </c>
      <c r="L880" t="s">
        <v>12</v>
      </c>
      <c r="M880" t="b">
        <v>0</v>
      </c>
      <c r="O880" s="1">
        <v>46197.817280092589</v>
      </c>
    </row>
    <row r="881" spans="1:15" x14ac:dyDescent="0.25">
      <c r="A881">
        <v>-356481867</v>
      </c>
      <c r="B881" t="s">
        <v>696</v>
      </c>
      <c r="G881">
        <v>44</v>
      </c>
      <c r="H881" t="s">
        <v>16</v>
      </c>
      <c r="I881">
        <v>76.8</v>
      </c>
      <c r="J881">
        <v>75.5</v>
      </c>
      <c r="L881" t="s">
        <v>15</v>
      </c>
      <c r="M881" t="b">
        <v>0</v>
      </c>
      <c r="O881" s="1">
        <v>46197.817280092589</v>
      </c>
    </row>
    <row r="882" spans="1:15" x14ac:dyDescent="0.25">
      <c r="A882">
        <v>1782308799</v>
      </c>
      <c r="B882" t="s">
        <v>697</v>
      </c>
      <c r="C882" t="s">
        <v>579</v>
      </c>
      <c r="D882" t="s">
        <v>580</v>
      </c>
      <c r="E882" t="s">
        <v>364</v>
      </c>
      <c r="F882">
        <v>100</v>
      </c>
      <c r="K882" s="1">
        <v>46197.865729166668</v>
      </c>
      <c r="M882" t="b">
        <v>1</v>
      </c>
      <c r="N882" s="1">
        <v>46198.697627314818</v>
      </c>
      <c r="O882" s="1">
        <v>46197.865729166668</v>
      </c>
    </row>
    <row r="883" spans="1:15" x14ac:dyDescent="0.25">
      <c r="A883">
        <v>-330568044</v>
      </c>
      <c r="B883" t="s">
        <v>697</v>
      </c>
      <c r="G883">
        <v>41</v>
      </c>
      <c r="H883" t="s">
        <v>29</v>
      </c>
      <c r="I883">
        <v>665</v>
      </c>
      <c r="J883">
        <v>664.9</v>
      </c>
      <c r="L883" t="s">
        <v>12</v>
      </c>
      <c r="M883" t="b">
        <v>0</v>
      </c>
      <c r="O883" s="1">
        <v>46197.865729166668</v>
      </c>
    </row>
    <row r="884" spans="1:15" x14ac:dyDescent="0.25">
      <c r="A884">
        <v>-2102269947</v>
      </c>
      <c r="B884" t="s">
        <v>697</v>
      </c>
      <c r="G884">
        <v>58</v>
      </c>
      <c r="H884" t="s">
        <v>32</v>
      </c>
      <c r="I884">
        <v>550</v>
      </c>
      <c r="J884">
        <v>549.20000000000005</v>
      </c>
      <c r="L884" t="s">
        <v>12</v>
      </c>
      <c r="M884" t="b">
        <v>0</v>
      </c>
      <c r="O884" s="1">
        <v>46197.865729166668</v>
      </c>
    </row>
    <row r="885" spans="1:15" x14ac:dyDescent="0.25">
      <c r="A885">
        <v>2012890850</v>
      </c>
      <c r="B885" t="s">
        <v>697</v>
      </c>
      <c r="G885">
        <v>35</v>
      </c>
      <c r="H885" t="s">
        <v>36</v>
      </c>
      <c r="I885">
        <v>54</v>
      </c>
      <c r="J885">
        <v>53.9</v>
      </c>
      <c r="L885" t="s">
        <v>12</v>
      </c>
      <c r="M885" t="b">
        <v>0</v>
      </c>
      <c r="O885" s="1">
        <v>46197.865729166668</v>
      </c>
    </row>
    <row r="886" spans="1:15" x14ac:dyDescent="0.25">
      <c r="A886">
        <v>-1053982277</v>
      </c>
      <c r="B886" t="s">
        <v>697</v>
      </c>
      <c r="G886">
        <v>44</v>
      </c>
      <c r="H886" t="s">
        <v>16</v>
      </c>
      <c r="I886">
        <v>67</v>
      </c>
      <c r="J886">
        <v>67</v>
      </c>
      <c r="L886" t="s">
        <v>12</v>
      </c>
      <c r="M886" t="b">
        <v>0</v>
      </c>
      <c r="O886" s="1">
        <v>46197.865729166668</v>
      </c>
    </row>
    <row r="887" spans="1:15" x14ac:dyDescent="0.25">
      <c r="A887">
        <v>1782314911</v>
      </c>
      <c r="B887" t="s">
        <v>698</v>
      </c>
      <c r="C887" t="s">
        <v>680</v>
      </c>
      <c r="D887" t="s">
        <v>616</v>
      </c>
      <c r="E887" t="s">
        <v>364</v>
      </c>
      <c r="F887">
        <v>450</v>
      </c>
      <c r="K887" s="1">
        <v>46197.936469907407</v>
      </c>
      <c r="M887" t="b">
        <v>1</v>
      </c>
      <c r="N887" s="1">
        <v>46198.697627314818</v>
      </c>
      <c r="O887" s="1">
        <v>46197.936469907407</v>
      </c>
    </row>
    <row r="888" spans="1:15" x14ac:dyDescent="0.25">
      <c r="A888">
        <v>-1715248908</v>
      </c>
      <c r="B888" t="s">
        <v>698</v>
      </c>
      <c r="G888">
        <v>41</v>
      </c>
      <c r="H888" t="s">
        <v>29</v>
      </c>
      <c r="I888">
        <v>2250</v>
      </c>
      <c r="J888">
        <v>2255.3000000000002</v>
      </c>
      <c r="L888" t="s">
        <v>12</v>
      </c>
      <c r="M888" t="b">
        <v>0</v>
      </c>
      <c r="O888" s="1">
        <v>46197.936469907407</v>
      </c>
    </row>
    <row r="889" spans="1:15" x14ac:dyDescent="0.25">
      <c r="A889">
        <v>1782317243</v>
      </c>
      <c r="B889" t="s">
        <v>699</v>
      </c>
      <c r="C889" t="s">
        <v>388</v>
      </c>
      <c r="D889" t="s">
        <v>389</v>
      </c>
      <c r="E889" t="s">
        <v>336</v>
      </c>
      <c r="F889">
        <v>50</v>
      </c>
      <c r="K889" s="1">
        <v>46197.963460648149</v>
      </c>
      <c r="M889" t="b">
        <v>1</v>
      </c>
      <c r="N889" s="1">
        <v>46198.697627314818</v>
      </c>
      <c r="O889" s="1">
        <v>46197.963460648149</v>
      </c>
    </row>
    <row r="890" spans="1:15" x14ac:dyDescent="0.25">
      <c r="A890">
        <v>1559503584</v>
      </c>
      <c r="B890" t="s">
        <v>699</v>
      </c>
      <c r="G890">
        <v>41</v>
      </c>
      <c r="H890" t="s">
        <v>29</v>
      </c>
      <c r="I890">
        <v>505</v>
      </c>
      <c r="J890">
        <v>504.8</v>
      </c>
      <c r="L890" t="s">
        <v>12</v>
      </c>
      <c r="M890" t="b">
        <v>0</v>
      </c>
      <c r="O890" s="1">
        <v>46197.963460648149</v>
      </c>
    </row>
    <row r="891" spans="1:15" x14ac:dyDescent="0.25">
      <c r="A891">
        <v>104816993</v>
      </c>
      <c r="B891" t="s">
        <v>699</v>
      </c>
      <c r="G891">
        <v>35</v>
      </c>
      <c r="H891" t="s">
        <v>36</v>
      </c>
      <c r="I891">
        <v>31.5</v>
      </c>
      <c r="J891">
        <v>30.7</v>
      </c>
      <c r="L891" t="s">
        <v>15</v>
      </c>
      <c r="M891" t="b">
        <v>0</v>
      </c>
      <c r="O891" s="1">
        <v>46197.963460648149</v>
      </c>
    </row>
    <row r="892" spans="1:15" x14ac:dyDescent="0.25">
      <c r="A892">
        <v>1038173198</v>
      </c>
      <c r="B892" t="s">
        <v>699</v>
      </c>
      <c r="G892">
        <v>44</v>
      </c>
      <c r="H892" t="s">
        <v>16</v>
      </c>
      <c r="I892">
        <v>16</v>
      </c>
      <c r="J892">
        <v>15.6</v>
      </c>
      <c r="L892" t="s">
        <v>15</v>
      </c>
      <c r="M892" t="b">
        <v>0</v>
      </c>
      <c r="O892" s="1">
        <v>46197.963460648149</v>
      </c>
    </row>
    <row r="893" spans="1:15" x14ac:dyDescent="0.25">
      <c r="A893">
        <v>1782326977</v>
      </c>
      <c r="B893" t="s">
        <v>700</v>
      </c>
      <c r="C893" t="s">
        <v>430</v>
      </c>
      <c r="D893" t="s">
        <v>500</v>
      </c>
      <c r="E893" t="s">
        <v>336</v>
      </c>
      <c r="F893">
        <v>50</v>
      </c>
      <c r="K893" s="1">
        <v>46198.076122685183</v>
      </c>
      <c r="M893" t="b">
        <v>1</v>
      </c>
      <c r="N893" s="1">
        <v>46198.679884259262</v>
      </c>
      <c r="O893" s="1">
        <v>46198.076122685183</v>
      </c>
    </row>
    <row r="894" spans="1:15" x14ac:dyDescent="0.25">
      <c r="A894">
        <v>1654928878</v>
      </c>
      <c r="B894" t="s">
        <v>700</v>
      </c>
      <c r="G894">
        <v>41</v>
      </c>
      <c r="H894" t="s">
        <v>29</v>
      </c>
      <c r="I894">
        <v>600</v>
      </c>
      <c r="J894">
        <v>601.79999999999995</v>
      </c>
      <c r="L894" t="s">
        <v>12</v>
      </c>
      <c r="M894" t="b">
        <v>0</v>
      </c>
      <c r="O894" s="1">
        <v>46198.076122685183</v>
      </c>
    </row>
    <row r="895" spans="1:15" x14ac:dyDescent="0.25">
      <c r="A895">
        <v>886132439</v>
      </c>
      <c r="B895" t="s">
        <v>700</v>
      </c>
      <c r="G895">
        <v>35</v>
      </c>
      <c r="H895" t="s">
        <v>36</v>
      </c>
      <c r="I895">
        <v>93</v>
      </c>
      <c r="J895">
        <v>92.7</v>
      </c>
      <c r="L895" t="s">
        <v>12</v>
      </c>
      <c r="M895" t="b">
        <v>0</v>
      </c>
      <c r="O895" s="1">
        <v>46198.076122685183</v>
      </c>
    </row>
    <row r="896" spans="1:15" x14ac:dyDescent="0.25">
      <c r="A896">
        <v>408946124</v>
      </c>
      <c r="B896" t="s">
        <v>700</v>
      </c>
      <c r="G896">
        <v>44</v>
      </c>
      <c r="H896" t="s">
        <v>16</v>
      </c>
      <c r="I896">
        <v>37</v>
      </c>
      <c r="J896">
        <v>37.299999999999997</v>
      </c>
      <c r="L896" t="s">
        <v>12</v>
      </c>
      <c r="M896" t="b">
        <v>0</v>
      </c>
      <c r="O896" s="1">
        <v>46198.076122685183</v>
      </c>
    </row>
    <row r="897" spans="1:15" x14ac:dyDescent="0.25">
      <c r="A897">
        <v>1782336418</v>
      </c>
      <c r="B897" t="s">
        <v>701</v>
      </c>
      <c r="C897" t="s">
        <v>345</v>
      </c>
      <c r="D897" t="s">
        <v>537</v>
      </c>
      <c r="E897" t="s">
        <v>336</v>
      </c>
      <c r="F897">
        <v>100</v>
      </c>
      <c r="K897" s="1">
        <v>46198.185393518521</v>
      </c>
      <c r="M897" t="b">
        <v>1</v>
      </c>
      <c r="N897" s="1">
        <v>46198.679884259262</v>
      </c>
      <c r="O897" s="1">
        <v>46198.185393518521</v>
      </c>
    </row>
    <row r="898" spans="1:15" x14ac:dyDescent="0.25">
      <c r="A898">
        <v>386717563</v>
      </c>
      <c r="B898" t="s">
        <v>701</v>
      </c>
      <c r="G898">
        <v>41</v>
      </c>
      <c r="H898" t="s">
        <v>29</v>
      </c>
      <c r="I898">
        <v>1470</v>
      </c>
      <c r="J898">
        <v>1463.8</v>
      </c>
      <c r="L898" t="s">
        <v>12</v>
      </c>
      <c r="M898" t="b">
        <v>0</v>
      </c>
      <c r="O898" s="1">
        <v>46198.185393518521</v>
      </c>
    </row>
    <row r="899" spans="1:15" x14ac:dyDescent="0.25">
      <c r="A899">
        <v>1318740640</v>
      </c>
      <c r="B899" t="s">
        <v>701</v>
      </c>
      <c r="G899">
        <v>44</v>
      </c>
      <c r="H899" t="s">
        <v>16</v>
      </c>
      <c r="I899">
        <v>104</v>
      </c>
      <c r="J899">
        <v>103.1</v>
      </c>
      <c r="L899" t="s">
        <v>12</v>
      </c>
      <c r="M899" t="b">
        <v>0</v>
      </c>
      <c r="O899" s="1">
        <v>46198.185393518521</v>
      </c>
    </row>
    <row r="900" spans="1:15" x14ac:dyDescent="0.25">
      <c r="A900">
        <v>230626849</v>
      </c>
      <c r="B900" t="s">
        <v>701</v>
      </c>
      <c r="G900">
        <v>4</v>
      </c>
      <c r="H900" t="s">
        <v>27</v>
      </c>
      <c r="I900">
        <v>480</v>
      </c>
      <c r="J900">
        <v>475.7</v>
      </c>
      <c r="L900" t="s">
        <v>12</v>
      </c>
      <c r="M900" t="b">
        <v>0</v>
      </c>
      <c r="O900" s="1">
        <v>46198.185393518521</v>
      </c>
    </row>
    <row r="901" spans="1:15" x14ac:dyDescent="0.25">
      <c r="A901">
        <v>1782337899</v>
      </c>
      <c r="B901" t="s">
        <v>702</v>
      </c>
      <c r="C901" t="s">
        <v>518</v>
      </c>
      <c r="D901" t="s">
        <v>563</v>
      </c>
      <c r="E901" t="s">
        <v>313</v>
      </c>
      <c r="F901">
        <v>50</v>
      </c>
      <c r="K901" s="1">
        <v>46198.202534722222</v>
      </c>
      <c r="M901" t="b">
        <v>1</v>
      </c>
      <c r="N901" s="1">
        <v>46198.679884259262</v>
      </c>
      <c r="O901" s="1">
        <v>46198.202534722222</v>
      </c>
    </row>
    <row r="902" spans="1:15" x14ac:dyDescent="0.25">
      <c r="A902">
        <v>1635807696</v>
      </c>
      <c r="B902" t="s">
        <v>702</v>
      </c>
      <c r="G902">
        <v>41</v>
      </c>
      <c r="H902" t="s">
        <v>29</v>
      </c>
      <c r="I902">
        <v>865</v>
      </c>
      <c r="J902">
        <v>866.8</v>
      </c>
      <c r="L902" t="s">
        <v>12</v>
      </c>
      <c r="M902" t="b">
        <v>0</v>
      </c>
      <c r="O902" s="1">
        <v>46198.202534722222</v>
      </c>
    </row>
    <row r="903" spans="1:15" x14ac:dyDescent="0.25">
      <c r="A903">
        <v>-304815727</v>
      </c>
      <c r="B903" t="s">
        <v>702</v>
      </c>
      <c r="G903">
        <v>58</v>
      </c>
      <c r="H903" t="s">
        <v>32</v>
      </c>
      <c r="I903">
        <v>257.5</v>
      </c>
      <c r="J903">
        <v>256.10000000000002</v>
      </c>
      <c r="L903" t="s">
        <v>12</v>
      </c>
      <c r="M903" t="b">
        <v>0</v>
      </c>
      <c r="O903" s="1">
        <v>46198.202534722222</v>
      </c>
    </row>
    <row r="904" spans="1:15" x14ac:dyDescent="0.25">
      <c r="A904">
        <v>1616112766</v>
      </c>
      <c r="B904" t="s">
        <v>702</v>
      </c>
      <c r="G904">
        <v>35</v>
      </c>
      <c r="H904" t="s">
        <v>36</v>
      </c>
      <c r="I904">
        <v>7.3</v>
      </c>
      <c r="J904">
        <v>7.6</v>
      </c>
      <c r="L904" t="s">
        <v>15</v>
      </c>
      <c r="M904" t="b">
        <v>0</v>
      </c>
      <c r="O904" s="1">
        <v>46198.202534722222</v>
      </c>
    </row>
    <row r="905" spans="1:15" x14ac:dyDescent="0.25">
      <c r="A905">
        <v>2126104103</v>
      </c>
      <c r="B905" t="s">
        <v>702</v>
      </c>
      <c r="G905">
        <v>16</v>
      </c>
      <c r="H905" t="s">
        <v>13</v>
      </c>
      <c r="I905">
        <v>33.5</v>
      </c>
      <c r="J905">
        <v>34.1</v>
      </c>
      <c r="L905" t="s">
        <v>15</v>
      </c>
      <c r="M905" t="b">
        <v>0</v>
      </c>
      <c r="O905" s="1">
        <v>46198.202534722222</v>
      </c>
    </row>
    <row r="906" spans="1:15" x14ac:dyDescent="0.25">
      <c r="A906">
        <v>1782348485</v>
      </c>
      <c r="B906" t="s">
        <v>703</v>
      </c>
      <c r="C906" t="s">
        <v>704</v>
      </c>
      <c r="D906" t="s">
        <v>678</v>
      </c>
      <c r="E906" t="s">
        <v>336</v>
      </c>
      <c r="F906">
        <v>50</v>
      </c>
      <c r="K906" s="1">
        <v>46198.325057870374</v>
      </c>
      <c r="M906" t="b">
        <v>1</v>
      </c>
      <c r="N906" s="1">
        <v>46198.679884259262</v>
      </c>
      <c r="O906" s="1">
        <v>46198.325057870374</v>
      </c>
    </row>
    <row r="907" spans="1:15" x14ac:dyDescent="0.25">
      <c r="A907">
        <v>-1691446622</v>
      </c>
      <c r="B907" t="s">
        <v>703</v>
      </c>
      <c r="G907">
        <v>41</v>
      </c>
      <c r="H907" t="s">
        <v>29</v>
      </c>
      <c r="I907">
        <v>410.25</v>
      </c>
      <c r="J907">
        <v>413.7</v>
      </c>
      <c r="L907" t="s">
        <v>12</v>
      </c>
      <c r="M907" t="b">
        <v>0</v>
      </c>
      <c r="O907" s="1">
        <v>46198.325057870374</v>
      </c>
    </row>
    <row r="908" spans="1:15" x14ac:dyDescent="0.25">
      <c r="A908">
        <v>493703803</v>
      </c>
      <c r="B908" t="s">
        <v>703</v>
      </c>
      <c r="G908">
        <v>35</v>
      </c>
      <c r="H908" t="s">
        <v>36</v>
      </c>
      <c r="I908">
        <v>78</v>
      </c>
      <c r="J908">
        <v>77.5</v>
      </c>
      <c r="L908" t="s">
        <v>12</v>
      </c>
      <c r="M908" t="b">
        <v>0</v>
      </c>
      <c r="O908" s="1">
        <v>46198.325057870374</v>
      </c>
    </row>
    <row r="909" spans="1:15" x14ac:dyDescent="0.25">
      <c r="A909">
        <v>-602799712</v>
      </c>
      <c r="B909" t="s">
        <v>703</v>
      </c>
      <c r="G909">
        <v>44</v>
      </c>
      <c r="H909" t="s">
        <v>16</v>
      </c>
      <c r="I909">
        <v>16.5</v>
      </c>
      <c r="J909">
        <v>16.3</v>
      </c>
      <c r="L909" t="s">
        <v>15</v>
      </c>
      <c r="M909" t="b">
        <v>0</v>
      </c>
      <c r="O909" s="1">
        <v>46198.325057870374</v>
      </c>
    </row>
    <row r="910" spans="1:15" x14ac:dyDescent="0.25">
      <c r="A910">
        <v>1782349692</v>
      </c>
      <c r="B910" t="s">
        <v>705</v>
      </c>
      <c r="C910" t="s">
        <v>379</v>
      </c>
      <c r="D910" t="s">
        <v>647</v>
      </c>
      <c r="E910" t="s">
        <v>364</v>
      </c>
      <c r="F910">
        <v>120</v>
      </c>
      <c r="K910" s="1">
        <v>46198.33902777778</v>
      </c>
      <c r="M910" t="b">
        <v>1</v>
      </c>
      <c r="N910" s="1">
        <v>46198.679884259262</v>
      </c>
      <c r="O910" s="1">
        <v>46198.33902777778</v>
      </c>
    </row>
    <row r="911" spans="1:15" x14ac:dyDescent="0.25">
      <c r="A911">
        <v>2049691853</v>
      </c>
      <c r="B911" t="s">
        <v>705</v>
      </c>
      <c r="G911">
        <v>41</v>
      </c>
      <c r="H911" t="s">
        <v>29</v>
      </c>
      <c r="I911">
        <v>600</v>
      </c>
      <c r="J911">
        <v>594.70000000000005</v>
      </c>
      <c r="L911" t="s">
        <v>12</v>
      </c>
      <c r="M911" t="b">
        <v>0</v>
      </c>
      <c r="O911" s="1">
        <v>46198.33902777778</v>
      </c>
    </row>
    <row r="912" spans="1:15" x14ac:dyDescent="0.25">
      <c r="A912">
        <v>1782351458</v>
      </c>
      <c r="B912" t="s">
        <v>706</v>
      </c>
      <c r="C912" t="s">
        <v>682</v>
      </c>
      <c r="D912" t="s">
        <v>613</v>
      </c>
      <c r="E912" t="s">
        <v>313</v>
      </c>
      <c r="F912">
        <v>450</v>
      </c>
      <c r="K912" s="1">
        <v>46198.359456018516</v>
      </c>
      <c r="M912" t="b">
        <v>1</v>
      </c>
      <c r="N912" s="1">
        <v>46198.679884259262</v>
      </c>
      <c r="O912" s="1">
        <v>46198.359456018516</v>
      </c>
    </row>
    <row r="913" spans="1:15" x14ac:dyDescent="0.25">
      <c r="A913">
        <v>1004514107</v>
      </c>
      <c r="B913" t="s">
        <v>706</v>
      </c>
      <c r="G913">
        <v>41</v>
      </c>
      <c r="H913" t="s">
        <v>29</v>
      </c>
      <c r="I913">
        <v>4500</v>
      </c>
      <c r="J913">
        <v>4461.1000000000004</v>
      </c>
      <c r="L913" t="s">
        <v>12</v>
      </c>
      <c r="M913" t="b">
        <v>0</v>
      </c>
      <c r="O913" s="1">
        <v>46198.359456018516</v>
      </c>
    </row>
    <row r="914" spans="1:15" x14ac:dyDescent="0.25">
      <c r="A914">
        <v>1642601312</v>
      </c>
      <c r="B914" t="s">
        <v>706</v>
      </c>
      <c r="G914">
        <v>35</v>
      </c>
      <c r="H914" t="s">
        <v>36</v>
      </c>
      <c r="I914">
        <v>855</v>
      </c>
      <c r="J914">
        <v>849.2</v>
      </c>
      <c r="L914" t="s">
        <v>12</v>
      </c>
      <c r="M914" t="b">
        <v>0</v>
      </c>
      <c r="O914" s="1">
        <v>46198.359456018516</v>
      </c>
    </row>
    <row r="915" spans="1:15" x14ac:dyDescent="0.25">
      <c r="A915">
        <v>-1234890783</v>
      </c>
      <c r="B915" t="s">
        <v>706</v>
      </c>
      <c r="G915">
        <v>11</v>
      </c>
      <c r="H915" t="s">
        <v>33</v>
      </c>
      <c r="I915">
        <v>108</v>
      </c>
      <c r="J915">
        <v>106.6</v>
      </c>
      <c r="L915" t="s">
        <v>15</v>
      </c>
      <c r="M915" t="b">
        <v>0</v>
      </c>
      <c r="O915" s="1">
        <v>46198.359456018516</v>
      </c>
    </row>
    <row r="916" spans="1:15" x14ac:dyDescent="0.25">
      <c r="A916">
        <v>1782355733</v>
      </c>
      <c r="B916" t="s">
        <v>707</v>
      </c>
      <c r="C916" t="s">
        <v>379</v>
      </c>
      <c r="D916" t="s">
        <v>647</v>
      </c>
      <c r="E916" t="s">
        <v>364</v>
      </c>
      <c r="F916">
        <v>120</v>
      </c>
      <c r="K916" s="1">
        <v>46198.408946759257</v>
      </c>
      <c r="M916" t="b">
        <v>1</v>
      </c>
      <c r="N916" s="1">
        <v>46198.679884259262</v>
      </c>
      <c r="O916" s="1">
        <v>46198.408946759257</v>
      </c>
    </row>
    <row r="917" spans="1:15" x14ac:dyDescent="0.25">
      <c r="A917">
        <v>950234290</v>
      </c>
      <c r="B917" t="s">
        <v>707</v>
      </c>
      <c r="G917">
        <v>41</v>
      </c>
      <c r="H917" t="s">
        <v>29</v>
      </c>
      <c r="I917">
        <v>600</v>
      </c>
      <c r="J917">
        <v>603.1</v>
      </c>
      <c r="L917" t="s">
        <v>12</v>
      </c>
      <c r="M917" t="b">
        <v>0</v>
      </c>
      <c r="O917" s="1">
        <v>46198.408946759257</v>
      </c>
    </row>
    <row r="918" spans="1:15" x14ac:dyDescent="0.25">
      <c r="A918">
        <v>1782358016</v>
      </c>
      <c r="B918" t="s">
        <v>708</v>
      </c>
      <c r="C918" t="s">
        <v>518</v>
      </c>
      <c r="D918" t="s">
        <v>219</v>
      </c>
      <c r="E918" t="s">
        <v>313</v>
      </c>
      <c r="F918">
        <v>250</v>
      </c>
      <c r="K918" s="1">
        <v>46198.435370370367</v>
      </c>
      <c r="M918" t="b">
        <v>1</v>
      </c>
      <c r="N918" s="1">
        <v>46198.679884259262</v>
      </c>
      <c r="O918" s="1">
        <v>46198.435370370367</v>
      </c>
    </row>
    <row r="919" spans="1:15" x14ac:dyDescent="0.25">
      <c r="A919">
        <v>610803713</v>
      </c>
      <c r="B919" t="s">
        <v>708</v>
      </c>
      <c r="G919">
        <v>41</v>
      </c>
      <c r="H919" t="s">
        <v>29</v>
      </c>
      <c r="I919">
        <v>2950</v>
      </c>
      <c r="J919">
        <v>2939.5</v>
      </c>
      <c r="L919" t="s">
        <v>12</v>
      </c>
      <c r="M919" t="b">
        <v>0</v>
      </c>
      <c r="O919" s="1">
        <v>46198.435370370367</v>
      </c>
    </row>
    <row r="920" spans="1:15" x14ac:dyDescent="0.25">
      <c r="A920">
        <v>-1370585554</v>
      </c>
      <c r="B920" t="s">
        <v>708</v>
      </c>
      <c r="G920">
        <v>35</v>
      </c>
      <c r="H920" t="s">
        <v>36</v>
      </c>
      <c r="I920">
        <v>37.5</v>
      </c>
      <c r="J920">
        <v>0.5</v>
      </c>
      <c r="L920" t="s">
        <v>15</v>
      </c>
      <c r="M920" t="b">
        <v>0</v>
      </c>
      <c r="O920" s="1">
        <v>46198.435370370367</v>
      </c>
    </row>
    <row r="921" spans="1:15" x14ac:dyDescent="0.25">
      <c r="A921">
        <v>1440410135</v>
      </c>
      <c r="B921" t="s">
        <v>708</v>
      </c>
      <c r="G921">
        <v>26</v>
      </c>
      <c r="H921" t="s">
        <v>186</v>
      </c>
      <c r="I921">
        <v>7.5</v>
      </c>
      <c r="L921" t="s">
        <v>15</v>
      </c>
      <c r="M921" t="b">
        <v>0</v>
      </c>
      <c r="O921" s="1">
        <v>46198.435370370367</v>
      </c>
    </row>
    <row r="922" spans="1:15" x14ac:dyDescent="0.25">
      <c r="A922">
        <v>1782358171</v>
      </c>
      <c r="B922" t="s">
        <v>709</v>
      </c>
      <c r="C922" t="s">
        <v>518</v>
      </c>
      <c r="D922" t="s">
        <v>219</v>
      </c>
      <c r="E922" t="s">
        <v>313</v>
      </c>
      <c r="F922">
        <v>250</v>
      </c>
      <c r="K922" s="1">
        <v>46198.437164351853</v>
      </c>
      <c r="M922" t="b">
        <v>1</v>
      </c>
      <c r="N922" s="1">
        <v>46198.679884259262</v>
      </c>
      <c r="O922" s="1">
        <v>46198.437164351853</v>
      </c>
    </row>
    <row r="923" spans="1:15" x14ac:dyDescent="0.25">
      <c r="A923">
        <v>-2068611776</v>
      </c>
      <c r="B923" t="s">
        <v>709</v>
      </c>
      <c r="G923">
        <v>41</v>
      </c>
      <c r="H923" t="s">
        <v>29</v>
      </c>
      <c r="I923">
        <v>2950</v>
      </c>
      <c r="J923">
        <v>0</v>
      </c>
      <c r="L923" t="s">
        <v>15</v>
      </c>
      <c r="M923" t="b">
        <v>0</v>
      </c>
      <c r="O923" s="1">
        <v>46198.437164351853</v>
      </c>
    </row>
    <row r="924" spans="1:15" x14ac:dyDescent="0.25">
      <c r="A924">
        <v>-1508604863</v>
      </c>
      <c r="B924" t="s">
        <v>709</v>
      </c>
      <c r="G924">
        <v>35</v>
      </c>
      <c r="H924" t="s">
        <v>36</v>
      </c>
      <c r="I924">
        <v>37.5</v>
      </c>
      <c r="J924">
        <v>37.14</v>
      </c>
      <c r="L924" t="s">
        <v>12</v>
      </c>
      <c r="M924" t="b">
        <v>0</v>
      </c>
      <c r="O924" s="1">
        <v>46198.437164351853</v>
      </c>
    </row>
    <row r="925" spans="1:15" x14ac:dyDescent="0.25">
      <c r="A925">
        <v>732800366</v>
      </c>
      <c r="B925" t="s">
        <v>709</v>
      </c>
      <c r="G925">
        <v>26</v>
      </c>
      <c r="H925" t="s">
        <v>186</v>
      </c>
      <c r="I925">
        <v>7.5</v>
      </c>
      <c r="J925">
        <v>7.56</v>
      </c>
      <c r="L925" t="s">
        <v>12</v>
      </c>
      <c r="M925" t="b">
        <v>0</v>
      </c>
      <c r="O925" s="1">
        <v>46198.437164351853</v>
      </c>
    </row>
    <row r="926" spans="1:15" x14ac:dyDescent="0.25">
      <c r="A926">
        <v>1782377017</v>
      </c>
      <c r="B926" t="s">
        <v>710</v>
      </c>
      <c r="C926" t="s">
        <v>385</v>
      </c>
      <c r="D926" t="s">
        <v>414</v>
      </c>
      <c r="E926" t="s">
        <v>336</v>
      </c>
      <c r="F926">
        <v>50</v>
      </c>
      <c r="K926" s="1">
        <v>46198.655277777776</v>
      </c>
      <c r="M926" t="b">
        <v>1</v>
      </c>
      <c r="N926" s="1">
        <v>46198.679884259262</v>
      </c>
      <c r="O926" s="1">
        <v>46198.655277777776</v>
      </c>
    </row>
    <row r="927" spans="1:15" x14ac:dyDescent="0.25">
      <c r="A927">
        <v>-1738251770</v>
      </c>
      <c r="B927" t="s">
        <v>710</v>
      </c>
      <c r="G927">
        <v>27</v>
      </c>
      <c r="H927" t="s">
        <v>143</v>
      </c>
      <c r="I927">
        <v>366.5</v>
      </c>
      <c r="J927">
        <v>367</v>
      </c>
      <c r="L927" t="s">
        <v>12</v>
      </c>
      <c r="M927" t="b">
        <v>0</v>
      </c>
      <c r="O927" s="1">
        <v>46198.655277777776</v>
      </c>
    </row>
    <row r="928" spans="1:15" x14ac:dyDescent="0.25">
      <c r="A928">
        <v>-583622897</v>
      </c>
      <c r="B928" t="s">
        <v>710</v>
      </c>
      <c r="G928">
        <v>57</v>
      </c>
      <c r="H928" t="s">
        <v>17</v>
      </c>
      <c r="I928">
        <v>148</v>
      </c>
      <c r="J928">
        <v>147.30000000000001</v>
      </c>
      <c r="L928" t="s">
        <v>12</v>
      </c>
      <c r="M928" t="b">
        <v>0</v>
      </c>
      <c r="O928" s="1">
        <v>46198.655277777776</v>
      </c>
    </row>
    <row r="929" spans="1:15" x14ac:dyDescent="0.25">
      <c r="A929">
        <v>-1371443292</v>
      </c>
      <c r="B929" t="s">
        <v>710</v>
      </c>
      <c r="G929">
        <v>41</v>
      </c>
      <c r="H929" t="s">
        <v>29</v>
      </c>
      <c r="I929">
        <v>462.5</v>
      </c>
      <c r="J929">
        <v>463.3</v>
      </c>
      <c r="L929" t="s">
        <v>12</v>
      </c>
      <c r="M929" t="b">
        <v>0</v>
      </c>
      <c r="O929" s="1">
        <v>46198.655277777776</v>
      </c>
    </row>
    <row r="930" spans="1:15" x14ac:dyDescent="0.25">
      <c r="A930">
        <v>1782381627</v>
      </c>
      <c r="B930" t="s">
        <v>711</v>
      </c>
      <c r="C930" t="s">
        <v>712</v>
      </c>
      <c r="D930" t="s">
        <v>603</v>
      </c>
      <c r="E930" t="s">
        <v>313</v>
      </c>
      <c r="F930">
        <v>250</v>
      </c>
      <c r="K930" s="1">
        <v>46198.708645833336</v>
      </c>
      <c r="M930" t="b">
        <v>0</v>
      </c>
      <c r="O930" s="1">
        <v>46198.708645833336</v>
      </c>
    </row>
    <row r="931" spans="1:15" x14ac:dyDescent="0.25">
      <c r="A931">
        <v>-1625991072</v>
      </c>
      <c r="B931" t="s">
        <v>711</v>
      </c>
      <c r="G931">
        <v>41</v>
      </c>
      <c r="H931" t="s">
        <v>29</v>
      </c>
      <c r="I931">
        <v>4750</v>
      </c>
      <c r="J931">
        <v>4767.5</v>
      </c>
      <c r="L931" t="s">
        <v>12</v>
      </c>
      <c r="M931" t="b">
        <v>0</v>
      </c>
      <c r="O931" s="1">
        <v>46198.708645833336</v>
      </c>
    </row>
    <row r="932" spans="1:15" x14ac:dyDescent="0.25">
      <c r="A932">
        <v>1546045665</v>
      </c>
      <c r="B932" t="s">
        <v>711</v>
      </c>
      <c r="G932">
        <v>59</v>
      </c>
      <c r="H932" t="s">
        <v>31</v>
      </c>
      <c r="I932">
        <v>175</v>
      </c>
      <c r="J932">
        <v>171.3</v>
      </c>
      <c r="L932" t="s">
        <v>15</v>
      </c>
      <c r="M932" t="b">
        <v>0</v>
      </c>
      <c r="O932" s="1">
        <v>46198.708645833336</v>
      </c>
    </row>
    <row r="933" spans="1:15" x14ac:dyDescent="0.25">
      <c r="A933">
        <v>-1635027570</v>
      </c>
      <c r="B933" t="s">
        <v>711</v>
      </c>
      <c r="G933">
        <v>16</v>
      </c>
      <c r="H933" t="s">
        <v>13</v>
      </c>
      <c r="I933">
        <v>1495</v>
      </c>
      <c r="J933">
        <v>1492.3</v>
      </c>
      <c r="L933" t="s">
        <v>12</v>
      </c>
      <c r="M933" t="b">
        <v>0</v>
      </c>
      <c r="O933" s="1">
        <v>46198.708645833336</v>
      </c>
    </row>
    <row r="934" spans="1:15" x14ac:dyDescent="0.25">
      <c r="A934">
        <v>1201749495</v>
      </c>
      <c r="B934" t="s">
        <v>711</v>
      </c>
      <c r="G934">
        <v>4</v>
      </c>
      <c r="H934" t="s">
        <v>27</v>
      </c>
      <c r="I934">
        <v>525</v>
      </c>
      <c r="J934">
        <v>529.70000000000005</v>
      </c>
      <c r="L934" t="s">
        <v>12</v>
      </c>
      <c r="M934" t="b">
        <v>0</v>
      </c>
      <c r="O934" s="1">
        <v>46198.708645833336</v>
      </c>
    </row>
    <row r="935" spans="1:15" x14ac:dyDescent="0.25">
      <c r="A935">
        <v>1782382343</v>
      </c>
      <c r="B935" t="s">
        <v>713</v>
      </c>
      <c r="C935" t="s">
        <v>469</v>
      </c>
      <c r="D935" t="s">
        <v>470</v>
      </c>
      <c r="E935" t="s">
        <v>340</v>
      </c>
      <c r="F935">
        <v>400</v>
      </c>
      <c r="K935" s="1">
        <v>46198.716921296298</v>
      </c>
      <c r="M935" t="b">
        <v>0</v>
      </c>
      <c r="O935" s="1">
        <v>46198.716921296298</v>
      </c>
    </row>
    <row r="936" spans="1:15" x14ac:dyDescent="0.25">
      <c r="A936">
        <v>1486429756</v>
      </c>
      <c r="B936" t="s">
        <v>713</v>
      </c>
      <c r="G936">
        <v>41</v>
      </c>
      <c r="H936" t="s">
        <v>29</v>
      </c>
      <c r="I936">
        <v>2400</v>
      </c>
      <c r="J936">
        <v>2398.8000000000002</v>
      </c>
      <c r="L936" t="s">
        <v>12</v>
      </c>
      <c r="M936" t="b">
        <v>0</v>
      </c>
      <c r="O936" s="1">
        <v>46198.716921296298</v>
      </c>
    </row>
    <row r="937" spans="1:15" x14ac:dyDescent="0.25">
      <c r="A937">
        <v>-2028717939</v>
      </c>
      <c r="B937" t="s">
        <v>713</v>
      </c>
      <c r="G937">
        <v>16</v>
      </c>
      <c r="H937" t="s">
        <v>13</v>
      </c>
      <c r="I937">
        <v>40</v>
      </c>
      <c r="J937">
        <v>36.9</v>
      </c>
      <c r="L937" t="s">
        <v>15</v>
      </c>
      <c r="M937" t="b">
        <v>0</v>
      </c>
      <c r="O937" s="1">
        <v>46198.716921296298</v>
      </c>
    </row>
    <row r="938" spans="1:15" x14ac:dyDescent="0.25">
      <c r="A938">
        <v>-919297149</v>
      </c>
      <c r="B938" t="s">
        <v>714</v>
      </c>
      <c r="C938" t="s">
        <v>715</v>
      </c>
      <c r="D938" t="s">
        <v>716</v>
      </c>
      <c r="E938" t="s">
        <v>336</v>
      </c>
      <c r="F938">
        <v>250</v>
      </c>
      <c r="K938" s="1">
        <v>46198.803483796299</v>
      </c>
      <c r="M938" t="b">
        <v>0</v>
      </c>
      <c r="O938" s="1">
        <v>46198.803483796299</v>
      </c>
    </row>
    <row r="939" spans="1:15" x14ac:dyDescent="0.25">
      <c r="A939">
        <v>988311560</v>
      </c>
      <c r="B939" t="s">
        <v>714</v>
      </c>
      <c r="G939">
        <v>41</v>
      </c>
      <c r="H939" t="s">
        <v>29</v>
      </c>
      <c r="I939">
        <v>4250</v>
      </c>
      <c r="J939">
        <v>4272.8</v>
      </c>
      <c r="L939" t="s">
        <v>12</v>
      </c>
      <c r="M939" t="b">
        <v>0</v>
      </c>
      <c r="O939" s="1">
        <v>46198.803483796299</v>
      </c>
    </row>
    <row r="940" spans="1:15" x14ac:dyDescent="0.25">
      <c r="A940">
        <v>736838149</v>
      </c>
      <c r="B940" t="s">
        <v>717</v>
      </c>
      <c r="C940" t="s">
        <v>718</v>
      </c>
      <c r="D940" t="s">
        <v>719</v>
      </c>
      <c r="E940" t="s">
        <v>336</v>
      </c>
      <c r="F940">
        <v>450</v>
      </c>
      <c r="K940" s="1">
        <v>46198.817326388889</v>
      </c>
      <c r="M940" t="b">
        <v>0</v>
      </c>
      <c r="O940" s="1">
        <v>46198.817326388889</v>
      </c>
    </row>
    <row r="941" spans="1:15" x14ac:dyDescent="0.25">
      <c r="A941">
        <v>1038817506</v>
      </c>
      <c r="B941" t="s">
        <v>717</v>
      </c>
      <c r="G941">
        <v>41</v>
      </c>
      <c r="H941" t="s">
        <v>29</v>
      </c>
      <c r="I941">
        <v>11250</v>
      </c>
      <c r="J941">
        <v>11248.3</v>
      </c>
      <c r="L941" t="s">
        <v>12</v>
      </c>
      <c r="M941" t="b">
        <v>0</v>
      </c>
      <c r="O941" s="1">
        <v>46198.817326388889</v>
      </c>
    </row>
    <row r="942" spans="1:15" x14ac:dyDescent="0.25">
      <c r="A942">
        <v>1764649915</v>
      </c>
      <c r="B942" t="s">
        <v>717</v>
      </c>
      <c r="G942">
        <v>16</v>
      </c>
      <c r="H942" t="s">
        <v>13</v>
      </c>
      <c r="I942">
        <v>225</v>
      </c>
      <c r="J942">
        <v>226.3</v>
      </c>
      <c r="L942" t="s">
        <v>12</v>
      </c>
      <c r="M942" t="b">
        <v>0</v>
      </c>
      <c r="O942" s="1">
        <v>46198.817326388889</v>
      </c>
    </row>
    <row r="943" spans="1:15" x14ac:dyDescent="0.25">
      <c r="A943">
        <v>-1179455008</v>
      </c>
      <c r="B943" t="s">
        <v>717</v>
      </c>
      <c r="G943">
        <v>68</v>
      </c>
      <c r="H943" t="s">
        <v>14</v>
      </c>
      <c r="I943">
        <v>45</v>
      </c>
      <c r="J943">
        <v>45</v>
      </c>
      <c r="L943" t="s">
        <v>12</v>
      </c>
      <c r="M943" t="b">
        <v>0</v>
      </c>
      <c r="O943" s="1">
        <v>46198.817326388889</v>
      </c>
    </row>
    <row r="944" spans="1:15" x14ac:dyDescent="0.25">
      <c r="A944">
        <v>-1650457475</v>
      </c>
      <c r="B944" t="s">
        <v>720</v>
      </c>
      <c r="C944" t="s">
        <v>688</v>
      </c>
      <c r="D944" t="s">
        <v>371</v>
      </c>
      <c r="E944" t="s">
        <v>364</v>
      </c>
      <c r="F944">
        <v>450</v>
      </c>
      <c r="K944" s="1">
        <v>46198.838692129626</v>
      </c>
      <c r="M944" t="b">
        <v>0</v>
      </c>
      <c r="O944" s="1">
        <v>46198.838692129626</v>
      </c>
    </row>
    <row r="945" spans="1:15" x14ac:dyDescent="0.25">
      <c r="A945">
        <v>-412542982</v>
      </c>
      <c r="B945" t="s">
        <v>720</v>
      </c>
      <c r="G945">
        <v>41</v>
      </c>
      <c r="H945" t="s">
        <v>29</v>
      </c>
      <c r="I945">
        <v>2700</v>
      </c>
      <c r="J945">
        <v>2699.9</v>
      </c>
      <c r="L945" t="s">
        <v>12</v>
      </c>
      <c r="M945" t="b">
        <v>0</v>
      </c>
      <c r="O945" s="1">
        <v>46198.838692129626</v>
      </c>
    </row>
    <row r="946" spans="1:15" x14ac:dyDescent="0.25">
      <c r="A946">
        <v>-1249651981</v>
      </c>
      <c r="B946" t="s">
        <v>720</v>
      </c>
      <c r="G946">
        <v>35</v>
      </c>
      <c r="H946" t="s">
        <v>36</v>
      </c>
      <c r="I946">
        <v>360</v>
      </c>
      <c r="J946">
        <v>360.3</v>
      </c>
      <c r="L946" t="s">
        <v>12</v>
      </c>
      <c r="M946" t="b">
        <v>0</v>
      </c>
      <c r="O946" s="1">
        <v>46198.838692129626</v>
      </c>
    </row>
    <row r="947" spans="1:15" x14ac:dyDescent="0.25">
      <c r="A947">
        <v>-1787664712</v>
      </c>
      <c r="B947" t="s">
        <v>720</v>
      </c>
      <c r="G947">
        <v>44</v>
      </c>
      <c r="H947" t="s">
        <v>16</v>
      </c>
      <c r="I947">
        <v>34.200000000000003</v>
      </c>
      <c r="J947">
        <v>33.9</v>
      </c>
      <c r="L947" t="s">
        <v>12</v>
      </c>
      <c r="M947" t="b">
        <v>0</v>
      </c>
      <c r="O947" s="1">
        <v>46198.838692129626</v>
      </c>
    </row>
    <row r="948" spans="1:15" x14ac:dyDescent="0.25">
      <c r="A948">
        <v>1084288878</v>
      </c>
      <c r="B948" t="s">
        <v>721</v>
      </c>
      <c r="C948" t="s">
        <v>712</v>
      </c>
      <c r="D948" t="s">
        <v>440</v>
      </c>
      <c r="E948" t="s">
        <v>313</v>
      </c>
      <c r="F948">
        <v>310</v>
      </c>
      <c r="K948" s="1">
        <v>46198.912569444445</v>
      </c>
      <c r="M948" t="b">
        <v>0</v>
      </c>
      <c r="O948" s="1">
        <v>46198.912569444445</v>
      </c>
    </row>
    <row r="949" spans="1:15" x14ac:dyDescent="0.25">
      <c r="A949">
        <v>686221911</v>
      </c>
      <c r="B949" t="s">
        <v>721</v>
      </c>
      <c r="G949">
        <v>41</v>
      </c>
      <c r="H949" t="s">
        <v>29</v>
      </c>
      <c r="I949">
        <v>2861.3</v>
      </c>
      <c r="J949">
        <v>2862</v>
      </c>
      <c r="L949" t="s">
        <v>12</v>
      </c>
      <c r="M949" t="b">
        <v>0</v>
      </c>
      <c r="O949" s="1">
        <v>46198.912569444445</v>
      </c>
    </row>
    <row r="950" spans="1:15" x14ac:dyDescent="0.25">
      <c r="A950">
        <v>-907977908</v>
      </c>
      <c r="B950" t="s">
        <v>721</v>
      </c>
      <c r="G950">
        <v>16</v>
      </c>
      <c r="H950" t="s">
        <v>13</v>
      </c>
      <c r="I950">
        <v>716.1</v>
      </c>
      <c r="J950">
        <v>717.1</v>
      </c>
      <c r="L950" t="s">
        <v>12</v>
      </c>
      <c r="M950" t="b">
        <v>0</v>
      </c>
      <c r="O950" s="1">
        <v>46198.912569444445</v>
      </c>
    </row>
    <row r="951" spans="1:15" x14ac:dyDescent="0.25">
      <c r="A951">
        <v>1268995165</v>
      </c>
      <c r="B951" t="s">
        <v>721</v>
      </c>
      <c r="G951">
        <v>35</v>
      </c>
      <c r="H951" t="s">
        <v>36</v>
      </c>
      <c r="I951">
        <v>171.43</v>
      </c>
      <c r="J951">
        <v>170.5</v>
      </c>
      <c r="L951" t="s">
        <v>12</v>
      </c>
      <c r="M951" t="b">
        <v>0</v>
      </c>
      <c r="O951" s="1">
        <v>46198.912569444445</v>
      </c>
    </row>
    <row r="952" spans="1:15" x14ac:dyDescent="0.25">
      <c r="A952">
        <v>-1439460450</v>
      </c>
      <c r="B952" t="s">
        <v>722</v>
      </c>
      <c r="C952" t="s">
        <v>518</v>
      </c>
      <c r="D952" t="s">
        <v>723</v>
      </c>
      <c r="E952" t="s">
        <v>336</v>
      </c>
      <c r="F952">
        <v>100</v>
      </c>
      <c r="K952" s="1">
        <v>46198.951157407406</v>
      </c>
      <c r="M952" t="b">
        <v>0</v>
      </c>
      <c r="O952" s="1">
        <v>46198.951157407406</v>
      </c>
    </row>
    <row r="953" spans="1:15" x14ac:dyDescent="0.25">
      <c r="A953">
        <v>-1825511737</v>
      </c>
      <c r="B953" t="s">
        <v>722</v>
      </c>
      <c r="G953">
        <v>41</v>
      </c>
      <c r="H953" t="s">
        <v>29</v>
      </c>
      <c r="I953">
        <v>1300</v>
      </c>
      <c r="J953">
        <v>1300.2</v>
      </c>
      <c r="L953" t="s">
        <v>12</v>
      </c>
      <c r="M953" t="b">
        <v>0</v>
      </c>
      <c r="O953" s="1">
        <v>46198.951157407406</v>
      </c>
    </row>
    <row r="954" spans="1:15" x14ac:dyDescent="0.25">
      <c r="A954">
        <v>-575710468</v>
      </c>
      <c r="B954" t="s">
        <v>722</v>
      </c>
      <c r="G954">
        <v>4</v>
      </c>
      <c r="H954" t="s">
        <v>27</v>
      </c>
      <c r="I954">
        <v>610</v>
      </c>
      <c r="J954">
        <v>612.20000000000005</v>
      </c>
      <c r="L954" t="s">
        <v>12</v>
      </c>
      <c r="M954" t="b">
        <v>0</v>
      </c>
      <c r="O954" s="1">
        <v>46198.951157407406</v>
      </c>
    </row>
    <row r="955" spans="1:15" x14ac:dyDescent="0.25">
      <c r="A955">
        <v>1452369485</v>
      </c>
      <c r="B955" t="s">
        <v>722</v>
      </c>
      <c r="G955">
        <v>44</v>
      </c>
      <c r="H955" t="s">
        <v>16</v>
      </c>
      <c r="I955">
        <v>200</v>
      </c>
      <c r="J955">
        <v>200.5</v>
      </c>
      <c r="L955" t="s">
        <v>12</v>
      </c>
      <c r="M955" t="b">
        <v>0</v>
      </c>
      <c r="O955" s="1">
        <v>46198.951157407406</v>
      </c>
    </row>
    <row r="956" spans="1:15" x14ac:dyDescent="0.25">
      <c r="A956">
        <v>-868919754</v>
      </c>
      <c r="B956" t="s">
        <v>724</v>
      </c>
      <c r="C956" t="s">
        <v>376</v>
      </c>
      <c r="D956" t="s">
        <v>377</v>
      </c>
      <c r="E956" t="s">
        <v>336</v>
      </c>
      <c r="F956">
        <v>250</v>
      </c>
      <c r="K956" s="1">
        <v>46198.963680555556</v>
      </c>
      <c r="M956" t="b">
        <v>0</v>
      </c>
      <c r="O956" s="1">
        <v>46198.963680555556</v>
      </c>
    </row>
    <row r="957" spans="1:15" x14ac:dyDescent="0.25">
      <c r="A957">
        <v>-799757441</v>
      </c>
      <c r="B957" t="s">
        <v>724</v>
      </c>
      <c r="G957">
        <v>41</v>
      </c>
      <c r="H957" t="s">
        <v>29</v>
      </c>
      <c r="I957">
        <v>540</v>
      </c>
      <c r="J957">
        <v>540.6</v>
      </c>
      <c r="L957" t="s">
        <v>12</v>
      </c>
      <c r="M957" t="b">
        <v>0</v>
      </c>
      <c r="O957" s="1">
        <v>46198.963680555556</v>
      </c>
    </row>
    <row r="958" spans="1:15" x14ac:dyDescent="0.25">
      <c r="A958">
        <v>1438007124</v>
      </c>
      <c r="B958" t="s">
        <v>724</v>
      </c>
      <c r="G958">
        <v>58</v>
      </c>
      <c r="H958" t="s">
        <v>32</v>
      </c>
      <c r="I958">
        <v>1107.5</v>
      </c>
      <c r="J958">
        <v>1105.5999999999999</v>
      </c>
      <c r="L958" t="s">
        <v>12</v>
      </c>
      <c r="M958" t="b">
        <v>0</v>
      </c>
      <c r="O958" s="1">
        <v>46198.963680555556</v>
      </c>
    </row>
    <row r="959" spans="1:15" x14ac:dyDescent="0.25">
      <c r="A959">
        <v>-17917499</v>
      </c>
      <c r="B959" t="s">
        <v>724</v>
      </c>
      <c r="G959">
        <v>35</v>
      </c>
      <c r="H959" t="s">
        <v>36</v>
      </c>
      <c r="I959">
        <v>188.5</v>
      </c>
      <c r="J959">
        <v>188.3</v>
      </c>
      <c r="L959" t="s">
        <v>12</v>
      </c>
      <c r="M959" t="b">
        <v>0</v>
      </c>
      <c r="O959" s="1">
        <v>46198.963680555556</v>
      </c>
    </row>
    <row r="960" spans="1:15" x14ac:dyDescent="0.25">
      <c r="A960">
        <v>-2041051742</v>
      </c>
      <c r="B960" t="s">
        <v>724</v>
      </c>
      <c r="G960">
        <v>16</v>
      </c>
      <c r="H960" t="s">
        <v>13</v>
      </c>
      <c r="I960">
        <v>76.5</v>
      </c>
      <c r="J960">
        <v>77.599999999999994</v>
      </c>
      <c r="L960" t="s">
        <v>15</v>
      </c>
      <c r="M960" t="b">
        <v>0</v>
      </c>
      <c r="O960" s="1">
        <v>46198.963680555556</v>
      </c>
    </row>
    <row r="961" spans="1:15" x14ac:dyDescent="0.25">
      <c r="A961">
        <v>697506128</v>
      </c>
      <c r="B961" t="s">
        <v>725</v>
      </c>
      <c r="C961" t="s">
        <v>398</v>
      </c>
      <c r="D961" t="s">
        <v>399</v>
      </c>
      <c r="E961" t="s">
        <v>313</v>
      </c>
      <c r="F961">
        <v>250</v>
      </c>
      <c r="K961" s="1">
        <v>46199.045416666668</v>
      </c>
      <c r="M961" t="b">
        <v>0</v>
      </c>
      <c r="O961" s="1">
        <v>46199.045416666668</v>
      </c>
    </row>
    <row r="962" spans="1:15" x14ac:dyDescent="0.25">
      <c r="A962">
        <v>999904017</v>
      </c>
      <c r="B962" t="s">
        <v>725</v>
      </c>
      <c r="G962">
        <v>41</v>
      </c>
      <c r="H962" t="s">
        <v>29</v>
      </c>
      <c r="I962">
        <v>5000</v>
      </c>
      <c r="J962">
        <v>5003.3999999999996</v>
      </c>
      <c r="L962" t="s">
        <v>12</v>
      </c>
      <c r="M962" t="b">
        <v>0</v>
      </c>
      <c r="O962" s="1">
        <v>46199.045416666668</v>
      </c>
    </row>
    <row r="963" spans="1:15" x14ac:dyDescent="0.25">
      <c r="A963">
        <v>1775558654</v>
      </c>
      <c r="B963" t="s">
        <v>725</v>
      </c>
      <c r="G963">
        <v>49</v>
      </c>
      <c r="H963" t="s">
        <v>181</v>
      </c>
      <c r="I963">
        <v>325</v>
      </c>
      <c r="J963">
        <v>327.60000000000002</v>
      </c>
      <c r="L963" t="s">
        <v>12</v>
      </c>
      <c r="M963" t="b">
        <v>0</v>
      </c>
      <c r="O963" s="1">
        <v>46199.045416666668</v>
      </c>
    </row>
    <row r="964" spans="1:15" x14ac:dyDescent="0.25">
      <c r="A964">
        <v>1697223591</v>
      </c>
      <c r="B964" t="s">
        <v>725</v>
      </c>
      <c r="G964">
        <v>44</v>
      </c>
      <c r="H964" t="s">
        <v>16</v>
      </c>
      <c r="I964">
        <v>150</v>
      </c>
      <c r="J964">
        <v>150.9</v>
      </c>
      <c r="L964" t="s">
        <v>12</v>
      </c>
      <c r="M964" t="b">
        <v>0</v>
      </c>
      <c r="O964" s="1">
        <v>46199.045416666668</v>
      </c>
    </row>
    <row r="965" spans="1:15" x14ac:dyDescent="0.25">
      <c r="A965">
        <v>162987612</v>
      </c>
      <c r="B965" t="s">
        <v>725</v>
      </c>
      <c r="G965">
        <v>35</v>
      </c>
      <c r="H965" t="s">
        <v>36</v>
      </c>
      <c r="I965">
        <v>50</v>
      </c>
      <c r="J965">
        <v>50.6</v>
      </c>
      <c r="L965" t="s">
        <v>15</v>
      </c>
      <c r="M965" t="b">
        <v>0</v>
      </c>
      <c r="O965" s="1">
        <v>46199.045416666668</v>
      </c>
    </row>
    <row r="966" spans="1:15" x14ac:dyDescent="0.25">
      <c r="A966">
        <v>-391029203</v>
      </c>
      <c r="B966" t="s">
        <v>726</v>
      </c>
      <c r="C966" t="s">
        <v>650</v>
      </c>
      <c r="D966" t="s">
        <v>383</v>
      </c>
      <c r="E966" t="s">
        <v>336</v>
      </c>
      <c r="F966">
        <v>50</v>
      </c>
      <c r="K966" s="1">
        <v>46199.06045138889</v>
      </c>
      <c r="M966" t="b">
        <v>0</v>
      </c>
      <c r="O966" s="1">
        <v>46199.06045138889</v>
      </c>
    </row>
    <row r="967" spans="1:15" x14ac:dyDescent="0.25">
      <c r="A967">
        <v>-1408631830</v>
      </c>
      <c r="B967" t="s">
        <v>726</v>
      </c>
      <c r="G967">
        <v>58</v>
      </c>
      <c r="H967" t="s">
        <v>32</v>
      </c>
      <c r="I967">
        <v>900</v>
      </c>
      <c r="J967">
        <v>905</v>
      </c>
      <c r="L967" t="s">
        <v>12</v>
      </c>
      <c r="M967" t="b">
        <v>0</v>
      </c>
      <c r="O967" s="1">
        <v>46199.06045138889</v>
      </c>
    </row>
    <row r="968" spans="1:15" x14ac:dyDescent="0.25">
      <c r="A968">
        <v>513115171</v>
      </c>
      <c r="B968" t="s">
        <v>726</v>
      </c>
      <c r="G968">
        <v>41</v>
      </c>
      <c r="H968" t="s">
        <v>29</v>
      </c>
      <c r="I968">
        <v>288</v>
      </c>
      <c r="J968">
        <v>288.10000000000002</v>
      </c>
      <c r="L968" t="s">
        <v>12</v>
      </c>
      <c r="M968" t="b">
        <v>0</v>
      </c>
      <c r="O968" s="1">
        <v>46199.06045138889</v>
      </c>
    </row>
    <row r="969" spans="1:15" x14ac:dyDescent="0.25">
      <c r="A969">
        <v>1321184296</v>
      </c>
      <c r="B969" t="s">
        <v>726</v>
      </c>
      <c r="G969">
        <v>35</v>
      </c>
      <c r="H969" t="s">
        <v>36</v>
      </c>
      <c r="I969">
        <v>273.5</v>
      </c>
      <c r="J969">
        <v>274.39999999999998</v>
      </c>
      <c r="L969" t="s">
        <v>12</v>
      </c>
      <c r="M969" t="b">
        <v>0</v>
      </c>
      <c r="O969" s="1">
        <v>46199.06045138889</v>
      </c>
    </row>
    <row r="970" spans="1:15" x14ac:dyDescent="0.25">
      <c r="A970">
        <v>1314730761</v>
      </c>
      <c r="B970" t="s">
        <v>726</v>
      </c>
      <c r="G970">
        <v>44</v>
      </c>
      <c r="H970" t="s">
        <v>16</v>
      </c>
      <c r="I970">
        <v>35.4</v>
      </c>
      <c r="J970">
        <v>35.1</v>
      </c>
      <c r="L970" t="s">
        <v>12</v>
      </c>
      <c r="M970" t="b">
        <v>0</v>
      </c>
      <c r="O970" s="1">
        <v>46199.06045138889</v>
      </c>
    </row>
    <row r="971" spans="1:15" x14ac:dyDescent="0.25">
      <c r="A971">
        <v>600917368</v>
      </c>
      <c r="B971" t="s">
        <v>727</v>
      </c>
      <c r="C971" t="s">
        <v>677</v>
      </c>
      <c r="D971" t="s">
        <v>678</v>
      </c>
      <c r="E971" t="s">
        <v>313</v>
      </c>
      <c r="F971">
        <v>50</v>
      </c>
      <c r="K971" s="1">
        <v>46199.326157407406</v>
      </c>
      <c r="M971" t="b">
        <v>0</v>
      </c>
      <c r="O971" s="1">
        <v>46199.326157407406</v>
      </c>
    </row>
    <row r="972" spans="1:15" x14ac:dyDescent="0.25">
      <c r="A972">
        <v>1446184473</v>
      </c>
      <c r="B972" t="s">
        <v>727</v>
      </c>
      <c r="G972">
        <v>41</v>
      </c>
      <c r="H972" t="s">
        <v>29</v>
      </c>
      <c r="I972">
        <v>550</v>
      </c>
      <c r="J972">
        <v>550.70000000000005</v>
      </c>
      <c r="L972" t="s">
        <v>12</v>
      </c>
      <c r="M972" t="b">
        <v>0</v>
      </c>
      <c r="O972" s="1">
        <v>46199.326157407406</v>
      </c>
    </row>
    <row r="973" spans="1:15" x14ac:dyDescent="0.25">
      <c r="A973">
        <v>-944600986</v>
      </c>
      <c r="B973" t="s">
        <v>727</v>
      </c>
      <c r="G973">
        <v>35</v>
      </c>
      <c r="H973" t="s">
        <v>36</v>
      </c>
      <c r="I973">
        <v>8.5</v>
      </c>
      <c r="J973">
        <v>8.6</v>
      </c>
      <c r="L973" t="s">
        <v>15</v>
      </c>
      <c r="M973" t="b">
        <v>0</v>
      </c>
      <c r="O973" s="1">
        <v>46199.326157407406</v>
      </c>
    </row>
    <row r="974" spans="1:15" x14ac:dyDescent="0.25">
      <c r="A974">
        <v>476945903</v>
      </c>
      <c r="B974" t="s">
        <v>727</v>
      </c>
      <c r="G974">
        <v>44</v>
      </c>
      <c r="H974" t="s">
        <v>16</v>
      </c>
      <c r="I974">
        <v>15</v>
      </c>
      <c r="J974">
        <v>15.2</v>
      </c>
      <c r="L974" t="s">
        <v>15</v>
      </c>
      <c r="M974" t="b">
        <v>0</v>
      </c>
      <c r="O974" s="1">
        <v>46199.326157407406</v>
      </c>
    </row>
    <row r="975" spans="1:15" x14ac:dyDescent="0.25">
      <c r="A975">
        <v>-1947632380</v>
      </c>
      <c r="B975" t="s">
        <v>728</v>
      </c>
      <c r="C975" t="s">
        <v>545</v>
      </c>
      <c r="D975">
        <v>316053</v>
      </c>
      <c r="E975" t="s">
        <v>336</v>
      </c>
      <c r="F975">
        <v>50</v>
      </c>
      <c r="K975" s="1">
        <v>46199.33222222222</v>
      </c>
      <c r="M975" t="b">
        <v>0</v>
      </c>
      <c r="O975" s="1">
        <v>46199.33222222222</v>
      </c>
    </row>
    <row r="976" spans="1:15" x14ac:dyDescent="0.25">
      <c r="A976">
        <v>-1956867659</v>
      </c>
      <c r="B976" t="s">
        <v>728</v>
      </c>
      <c r="G976">
        <v>41</v>
      </c>
      <c r="H976" t="s">
        <v>29</v>
      </c>
      <c r="I976">
        <v>195</v>
      </c>
      <c r="J976">
        <v>194.1</v>
      </c>
      <c r="L976" t="s">
        <v>12</v>
      </c>
      <c r="M976" t="b">
        <v>0</v>
      </c>
      <c r="O976" s="1">
        <v>46199.33222222222</v>
      </c>
    </row>
    <row r="977" spans="1:15" x14ac:dyDescent="0.25">
      <c r="A977">
        <v>1315846866</v>
      </c>
      <c r="B977" t="s">
        <v>728</v>
      </c>
      <c r="G977">
        <v>58</v>
      </c>
      <c r="H977" t="s">
        <v>32</v>
      </c>
      <c r="I977">
        <v>169</v>
      </c>
      <c r="J977">
        <v>167.1</v>
      </c>
      <c r="L977" t="s">
        <v>15</v>
      </c>
      <c r="M977" t="b">
        <v>0</v>
      </c>
      <c r="O977" s="1">
        <v>46199.33222222222</v>
      </c>
    </row>
    <row r="978" spans="1:15" x14ac:dyDescent="0.25">
      <c r="A978">
        <v>-323419413</v>
      </c>
      <c r="B978" t="s">
        <v>728</v>
      </c>
      <c r="G978">
        <v>35</v>
      </c>
      <c r="H978" t="s">
        <v>36</v>
      </c>
      <c r="I978">
        <v>44</v>
      </c>
      <c r="J978">
        <v>44.1</v>
      </c>
      <c r="L978" t="s">
        <v>12</v>
      </c>
      <c r="M978" t="b">
        <v>0</v>
      </c>
      <c r="O978" s="1">
        <v>46199.33222222222</v>
      </c>
    </row>
    <row r="979" spans="1:15" x14ac:dyDescent="0.25">
      <c r="A979">
        <v>954508624</v>
      </c>
      <c r="B979" t="s">
        <v>728</v>
      </c>
      <c r="G979">
        <v>16</v>
      </c>
      <c r="H979" t="s">
        <v>13</v>
      </c>
      <c r="I979">
        <v>14.5</v>
      </c>
      <c r="J979">
        <v>14.4</v>
      </c>
      <c r="L979" t="s">
        <v>12</v>
      </c>
      <c r="M979" t="b">
        <v>0</v>
      </c>
      <c r="O979" s="1">
        <v>46199.33222222222</v>
      </c>
    </row>
    <row r="980" spans="1:15" x14ac:dyDescent="0.25">
      <c r="A980">
        <v>817295121</v>
      </c>
      <c r="B980" t="s">
        <v>728</v>
      </c>
      <c r="G980">
        <v>59</v>
      </c>
      <c r="H980" t="s">
        <v>31</v>
      </c>
      <c r="I980">
        <v>39.5</v>
      </c>
      <c r="J980">
        <v>39.799999999999997</v>
      </c>
      <c r="L980" t="s">
        <v>12</v>
      </c>
      <c r="M980" t="b">
        <v>0</v>
      </c>
      <c r="O980" s="1">
        <v>46199.33222222222</v>
      </c>
    </row>
    <row r="981" spans="1:15" x14ac:dyDescent="0.25">
      <c r="A981">
        <v>1671749120</v>
      </c>
      <c r="B981" t="s">
        <v>729</v>
      </c>
      <c r="C981" t="s">
        <v>593</v>
      </c>
      <c r="D981" t="s">
        <v>440</v>
      </c>
      <c r="E981" t="s">
        <v>313</v>
      </c>
      <c r="F981">
        <v>250</v>
      </c>
      <c r="K981" s="1">
        <v>46199.385208333333</v>
      </c>
      <c r="M981" t="b">
        <v>0</v>
      </c>
      <c r="O981" s="1">
        <v>46199.385208333333</v>
      </c>
    </row>
    <row r="982" spans="1:15" x14ac:dyDescent="0.25">
      <c r="A982">
        <v>594478593</v>
      </c>
      <c r="B982" t="s">
        <v>729</v>
      </c>
      <c r="G982">
        <v>41</v>
      </c>
      <c r="H982" t="s">
        <v>29</v>
      </c>
      <c r="I982">
        <v>540</v>
      </c>
      <c r="J982">
        <v>536.1</v>
      </c>
      <c r="L982" t="s">
        <v>12</v>
      </c>
      <c r="M982" t="b">
        <v>0</v>
      </c>
      <c r="O982" s="1">
        <v>46199.385208333333</v>
      </c>
    </row>
    <row r="983" spans="1:15" x14ac:dyDescent="0.25">
      <c r="A983">
        <v>891876398</v>
      </c>
      <c r="B983" t="s">
        <v>729</v>
      </c>
      <c r="G983">
        <v>58</v>
      </c>
      <c r="H983" t="s">
        <v>32</v>
      </c>
      <c r="I983">
        <v>1122.5</v>
      </c>
      <c r="J983">
        <v>1132.5999999999999</v>
      </c>
      <c r="L983" t="s">
        <v>12</v>
      </c>
      <c r="M983" t="b">
        <v>0</v>
      </c>
      <c r="O983" s="1">
        <v>46199.385208333333</v>
      </c>
    </row>
    <row r="984" spans="1:15" x14ac:dyDescent="0.25">
      <c r="A984">
        <v>-921419753</v>
      </c>
      <c r="B984" t="s">
        <v>729</v>
      </c>
      <c r="G984">
        <v>35</v>
      </c>
      <c r="H984" t="s">
        <v>36</v>
      </c>
      <c r="I984">
        <v>162.5</v>
      </c>
      <c r="J984">
        <v>161.69999999999999</v>
      </c>
      <c r="L984" t="s">
        <v>12</v>
      </c>
      <c r="M984" t="b">
        <v>0</v>
      </c>
      <c r="O984" s="1">
        <v>46199.385208333333</v>
      </c>
    </row>
    <row r="985" spans="1:15" x14ac:dyDescent="0.25">
      <c r="A985">
        <v>1558441484</v>
      </c>
      <c r="B985" t="s">
        <v>729</v>
      </c>
      <c r="G985">
        <v>11</v>
      </c>
      <c r="H985" t="s">
        <v>33</v>
      </c>
      <c r="I985">
        <v>37.5</v>
      </c>
      <c r="J985">
        <v>37.6</v>
      </c>
      <c r="L985" t="s">
        <v>12</v>
      </c>
      <c r="M985" t="b">
        <v>0</v>
      </c>
      <c r="O985" s="1">
        <v>46199.385208333333</v>
      </c>
    </row>
    <row r="986" spans="1:15" x14ac:dyDescent="0.25">
      <c r="A986">
        <v>-131927047</v>
      </c>
      <c r="B986" t="s">
        <v>730</v>
      </c>
      <c r="C986" t="s">
        <v>650</v>
      </c>
      <c r="D986" t="s">
        <v>383</v>
      </c>
      <c r="E986" t="s">
        <v>336</v>
      </c>
      <c r="F986">
        <v>50</v>
      </c>
      <c r="K986" s="1">
        <v>46199.392071759263</v>
      </c>
      <c r="M986" t="b">
        <v>0</v>
      </c>
      <c r="O986" s="1">
        <v>46199.392071759263</v>
      </c>
    </row>
    <row r="987" spans="1:15" x14ac:dyDescent="0.25">
      <c r="A987">
        <v>-426338106</v>
      </c>
      <c r="B987" t="s">
        <v>730</v>
      </c>
      <c r="G987">
        <v>58</v>
      </c>
      <c r="H987" t="s">
        <v>32</v>
      </c>
      <c r="I987">
        <v>400</v>
      </c>
      <c r="J987">
        <v>400.3</v>
      </c>
      <c r="L987" t="s">
        <v>12</v>
      </c>
      <c r="M987" t="b">
        <v>0</v>
      </c>
      <c r="O987" s="1">
        <v>46199.392071759263</v>
      </c>
    </row>
    <row r="988" spans="1:15" x14ac:dyDescent="0.25">
      <c r="A988">
        <v>-1455767857</v>
      </c>
      <c r="B988" t="s">
        <v>730</v>
      </c>
      <c r="G988">
        <v>41</v>
      </c>
      <c r="H988" t="s">
        <v>29</v>
      </c>
      <c r="I988">
        <v>140</v>
      </c>
      <c r="J988">
        <v>142</v>
      </c>
      <c r="L988" t="s">
        <v>15</v>
      </c>
      <c r="M988" t="b">
        <v>0</v>
      </c>
      <c r="O988" s="1">
        <v>46199.392071759263</v>
      </c>
    </row>
    <row r="989" spans="1:15" x14ac:dyDescent="0.25">
      <c r="A989">
        <v>1870759012</v>
      </c>
      <c r="B989" t="s">
        <v>730</v>
      </c>
      <c r="G989">
        <v>35</v>
      </c>
      <c r="H989" t="s">
        <v>36</v>
      </c>
      <c r="I989">
        <v>100</v>
      </c>
      <c r="J989">
        <v>100.5</v>
      </c>
      <c r="L989" t="s">
        <v>12</v>
      </c>
      <c r="M989" t="b">
        <v>0</v>
      </c>
      <c r="O989" s="1">
        <v>46199.392071759263</v>
      </c>
    </row>
    <row r="990" spans="1:15" x14ac:dyDescent="0.25">
      <c r="A990">
        <v>464919957</v>
      </c>
      <c r="B990" t="s">
        <v>730</v>
      </c>
      <c r="G990">
        <v>44</v>
      </c>
      <c r="H990" t="s">
        <v>16</v>
      </c>
      <c r="I990">
        <v>20</v>
      </c>
      <c r="J990">
        <v>19.899999999999999</v>
      </c>
      <c r="L990" t="s">
        <v>12</v>
      </c>
      <c r="M990" t="b">
        <v>0</v>
      </c>
      <c r="O990" s="1">
        <v>46199.392071759263</v>
      </c>
    </row>
    <row r="991" spans="1:15" x14ac:dyDescent="0.25">
      <c r="A991">
        <v>-389696672</v>
      </c>
      <c r="B991" t="s">
        <v>731</v>
      </c>
      <c r="C991" t="s">
        <v>466</v>
      </c>
      <c r="D991" t="s">
        <v>514</v>
      </c>
      <c r="E991" t="s">
        <v>336</v>
      </c>
      <c r="F991">
        <v>50</v>
      </c>
      <c r="K991" s="1">
        <v>46199.46570601852</v>
      </c>
      <c r="M991" t="b">
        <v>0</v>
      </c>
      <c r="O991" s="1">
        <v>46199.46570601852</v>
      </c>
    </row>
    <row r="992" spans="1:15" x14ac:dyDescent="0.25">
      <c r="A992">
        <v>-2115450911</v>
      </c>
      <c r="B992" t="s">
        <v>731</v>
      </c>
      <c r="G992">
        <v>69</v>
      </c>
      <c r="H992" t="s">
        <v>174</v>
      </c>
      <c r="I992">
        <v>10</v>
      </c>
      <c r="J992">
        <v>9.8000000000000007</v>
      </c>
      <c r="L992" t="s">
        <v>15</v>
      </c>
      <c r="M992" t="b">
        <v>0</v>
      </c>
      <c r="O992" s="1">
        <v>46199.46570601852</v>
      </c>
    </row>
    <row r="993" spans="1:15" x14ac:dyDescent="0.25">
      <c r="A993">
        <v>1287604366</v>
      </c>
      <c r="B993" t="s">
        <v>731</v>
      </c>
      <c r="G993">
        <v>26</v>
      </c>
      <c r="H993" t="s">
        <v>186</v>
      </c>
      <c r="I993">
        <v>48</v>
      </c>
      <c r="J993">
        <v>47.9</v>
      </c>
      <c r="L993" t="s">
        <v>12</v>
      </c>
      <c r="M993" t="b">
        <v>0</v>
      </c>
      <c r="O993" s="1">
        <v>46199.46570601852</v>
      </c>
    </row>
    <row r="994" spans="1:15" x14ac:dyDescent="0.25">
      <c r="A994">
        <v>911168759</v>
      </c>
      <c r="B994" t="s">
        <v>731</v>
      </c>
      <c r="G994">
        <v>57</v>
      </c>
      <c r="H994" t="s">
        <v>17</v>
      </c>
      <c r="I994">
        <v>115</v>
      </c>
      <c r="J994">
        <v>116.2</v>
      </c>
      <c r="L994" t="s">
        <v>15</v>
      </c>
      <c r="M994" t="b">
        <v>0</v>
      </c>
      <c r="O994" s="1">
        <v>46199.46570601852</v>
      </c>
    </row>
    <row r="995" spans="1:15" x14ac:dyDescent="0.25">
      <c r="A995">
        <v>2097666412</v>
      </c>
      <c r="B995" t="s">
        <v>731</v>
      </c>
      <c r="G995">
        <v>41</v>
      </c>
      <c r="H995" t="s">
        <v>29</v>
      </c>
      <c r="I995">
        <v>120</v>
      </c>
      <c r="J995">
        <v>120.5</v>
      </c>
      <c r="L995" t="s">
        <v>12</v>
      </c>
      <c r="M995" t="b">
        <v>0</v>
      </c>
      <c r="O995" s="1">
        <v>46199.46570601852</v>
      </c>
    </row>
    <row r="996" spans="1:15" x14ac:dyDescent="0.25">
      <c r="A996">
        <v>-949371964</v>
      </c>
      <c r="B996" t="s">
        <v>732</v>
      </c>
      <c r="C996" t="s">
        <v>439</v>
      </c>
      <c r="D996" t="s">
        <v>440</v>
      </c>
      <c r="E996" t="s">
        <v>336</v>
      </c>
      <c r="F996">
        <v>250</v>
      </c>
      <c r="K996" s="1">
        <v>46199.497210648151</v>
      </c>
      <c r="M996" t="b">
        <v>0</v>
      </c>
      <c r="O996" s="1">
        <v>46199.497210648151</v>
      </c>
    </row>
    <row r="997" spans="1:15" x14ac:dyDescent="0.25">
      <c r="A997">
        <v>692590965</v>
      </c>
      <c r="B997" t="s">
        <v>732</v>
      </c>
      <c r="G997">
        <v>41</v>
      </c>
      <c r="H997" t="s">
        <v>29</v>
      </c>
      <c r="I997">
        <v>1250</v>
      </c>
      <c r="J997">
        <v>1240</v>
      </c>
      <c r="L997" t="s">
        <v>12</v>
      </c>
      <c r="M997" t="b">
        <v>0</v>
      </c>
      <c r="O997" s="1">
        <v>46199.497210648151</v>
      </c>
    </row>
    <row r="998" spans="1:15" x14ac:dyDescent="0.25">
      <c r="A998">
        <v>-590637166</v>
      </c>
      <c r="B998" t="s">
        <v>732</v>
      </c>
      <c r="G998">
        <v>70</v>
      </c>
      <c r="H998" t="s">
        <v>167</v>
      </c>
      <c r="I998">
        <v>170</v>
      </c>
      <c r="J998">
        <v>169.8</v>
      </c>
      <c r="L998" t="s">
        <v>12</v>
      </c>
      <c r="M998" t="b">
        <v>0</v>
      </c>
      <c r="O998" s="1">
        <v>46199.497210648151</v>
      </c>
    </row>
    <row r="999" spans="1:15" x14ac:dyDescent="0.25">
      <c r="A999">
        <v>1148637355</v>
      </c>
      <c r="B999" t="s">
        <v>732</v>
      </c>
      <c r="G999">
        <v>44</v>
      </c>
      <c r="H999" t="s">
        <v>16</v>
      </c>
      <c r="I999">
        <v>25</v>
      </c>
      <c r="J999">
        <v>25.1</v>
      </c>
      <c r="L999" t="s">
        <v>12</v>
      </c>
      <c r="M999" t="b">
        <v>0</v>
      </c>
      <c r="O999" s="1">
        <v>46199.497210648151</v>
      </c>
    </row>
    <row r="1000" spans="1:15" x14ac:dyDescent="0.25">
      <c r="A1000">
        <v>-1406368285</v>
      </c>
      <c r="B1000" t="s">
        <v>733</v>
      </c>
      <c r="C1000" t="s">
        <v>650</v>
      </c>
      <c r="D1000" t="s">
        <v>383</v>
      </c>
      <c r="E1000" t="s">
        <v>336</v>
      </c>
      <c r="F1000">
        <v>50</v>
      </c>
      <c r="K1000" s="1">
        <v>46199.545856481483</v>
      </c>
      <c r="M1000" t="b">
        <v>0</v>
      </c>
      <c r="O1000" s="1">
        <v>46199.545856481483</v>
      </c>
    </row>
    <row r="1001" spans="1:15" x14ac:dyDescent="0.25">
      <c r="A1001">
        <v>-1914864920</v>
      </c>
      <c r="B1001" t="s">
        <v>733</v>
      </c>
      <c r="G1001">
        <v>58</v>
      </c>
      <c r="H1001" t="s">
        <v>32</v>
      </c>
      <c r="I1001">
        <v>400</v>
      </c>
      <c r="J1001">
        <v>402.8</v>
      </c>
      <c r="L1001" t="s">
        <v>12</v>
      </c>
      <c r="M1001" t="b">
        <v>0</v>
      </c>
      <c r="O1001" s="1">
        <v>46199.545856481483</v>
      </c>
    </row>
    <row r="1002" spans="1:15" x14ac:dyDescent="0.25">
      <c r="A1002">
        <v>509283017</v>
      </c>
      <c r="B1002" t="s">
        <v>733</v>
      </c>
      <c r="G1002">
        <v>41</v>
      </c>
      <c r="H1002" t="s">
        <v>29</v>
      </c>
      <c r="I1002">
        <v>140</v>
      </c>
      <c r="J1002">
        <v>139.80000000000001</v>
      </c>
      <c r="L1002" t="s">
        <v>12</v>
      </c>
      <c r="M1002" t="b">
        <v>0</v>
      </c>
      <c r="O1002" s="1">
        <v>46199.545856481483</v>
      </c>
    </row>
    <row r="1003" spans="1:15" x14ac:dyDescent="0.25">
      <c r="A1003">
        <v>-1494123690</v>
      </c>
      <c r="B1003" t="s">
        <v>733</v>
      </c>
      <c r="G1003">
        <v>35</v>
      </c>
      <c r="H1003" t="s">
        <v>36</v>
      </c>
      <c r="I1003">
        <v>100</v>
      </c>
      <c r="J1003">
        <v>100.5</v>
      </c>
      <c r="L1003" t="s">
        <v>12</v>
      </c>
      <c r="M1003" t="b">
        <v>0</v>
      </c>
      <c r="O1003" s="1">
        <v>46199.545856481483</v>
      </c>
    </row>
    <row r="1004" spans="1:15" x14ac:dyDescent="0.25">
      <c r="A1004">
        <v>-188616161</v>
      </c>
      <c r="B1004" t="s">
        <v>733</v>
      </c>
      <c r="G1004">
        <v>44</v>
      </c>
      <c r="H1004" t="s">
        <v>16</v>
      </c>
      <c r="I1004">
        <v>20</v>
      </c>
      <c r="J1004">
        <v>20.3</v>
      </c>
      <c r="L1004" t="s">
        <v>15</v>
      </c>
      <c r="M1004" t="b">
        <v>0</v>
      </c>
      <c r="O1004" s="1">
        <v>46199.545856481483</v>
      </c>
    </row>
    <row r="1005" spans="1:15" x14ac:dyDescent="0.25">
      <c r="A1005">
        <v>1212096441</v>
      </c>
      <c r="B1005" t="s">
        <v>734</v>
      </c>
      <c r="C1005" t="s">
        <v>424</v>
      </c>
      <c r="D1005" t="s">
        <v>685</v>
      </c>
      <c r="E1005" t="s">
        <v>336</v>
      </c>
      <c r="F1005">
        <v>450</v>
      </c>
      <c r="K1005" s="1">
        <v>46199.581678240742</v>
      </c>
      <c r="M1005" t="b">
        <v>0</v>
      </c>
      <c r="O1005" s="1">
        <v>46199.581678240742</v>
      </c>
    </row>
    <row r="1006" spans="1:15" x14ac:dyDescent="0.25">
      <c r="A1006">
        <v>2061027718</v>
      </c>
      <c r="B1006" t="s">
        <v>734</v>
      </c>
      <c r="G1006">
        <v>41</v>
      </c>
      <c r="H1006" t="s">
        <v>29</v>
      </c>
      <c r="I1006">
        <v>6525</v>
      </c>
      <c r="J1006">
        <v>6553.1</v>
      </c>
      <c r="L1006" t="s">
        <v>12</v>
      </c>
      <c r="M1006" t="b">
        <v>0</v>
      </c>
      <c r="O1006" s="1">
        <v>46199.581678240742</v>
      </c>
    </row>
    <row r="1007" spans="1:15" x14ac:dyDescent="0.25">
      <c r="A1007">
        <v>-1599483761</v>
      </c>
      <c r="B1007" t="s">
        <v>734</v>
      </c>
      <c r="G1007">
        <v>66</v>
      </c>
      <c r="H1007" t="s">
        <v>200</v>
      </c>
      <c r="I1007">
        <v>1350</v>
      </c>
      <c r="J1007">
        <v>1348.8</v>
      </c>
      <c r="L1007" t="s">
        <v>12</v>
      </c>
      <c r="M1007" t="b">
        <v>0</v>
      </c>
      <c r="O1007" s="1">
        <v>46199.581678240742</v>
      </c>
    </row>
    <row r="1008" spans="1:15" x14ac:dyDescent="0.25">
      <c r="A1008">
        <v>1744446244</v>
      </c>
      <c r="B1008" t="s">
        <v>734</v>
      </c>
      <c r="G1008">
        <v>16</v>
      </c>
      <c r="H1008" t="s">
        <v>13</v>
      </c>
      <c r="I1008">
        <v>585</v>
      </c>
      <c r="J1008">
        <v>590.70000000000005</v>
      </c>
      <c r="L1008" t="s">
        <v>12</v>
      </c>
      <c r="M1008" t="b">
        <v>0</v>
      </c>
      <c r="O1008" s="1">
        <v>46199.581678240742</v>
      </c>
    </row>
    <row r="1009" spans="1:15" x14ac:dyDescent="0.25">
      <c r="A1009">
        <v>394954069</v>
      </c>
      <c r="B1009" t="s">
        <v>735</v>
      </c>
      <c r="C1009" t="s">
        <v>650</v>
      </c>
      <c r="D1009" t="s">
        <v>383</v>
      </c>
      <c r="E1009" t="s">
        <v>336</v>
      </c>
      <c r="F1009">
        <v>50</v>
      </c>
      <c r="K1009" s="1">
        <v>46199.588703703703</v>
      </c>
      <c r="M1009" t="b">
        <v>0</v>
      </c>
      <c r="O1009" s="1">
        <v>46199.588703703703</v>
      </c>
    </row>
    <row r="1010" spans="1:15" x14ac:dyDescent="0.25">
      <c r="A1010">
        <v>56872434</v>
      </c>
      <c r="B1010" t="s">
        <v>735</v>
      </c>
      <c r="G1010">
        <v>58</v>
      </c>
      <c r="H1010" t="s">
        <v>32</v>
      </c>
      <c r="I1010">
        <v>300</v>
      </c>
      <c r="J1010">
        <v>302.89999999999998</v>
      </c>
      <c r="L1010" t="s">
        <v>12</v>
      </c>
      <c r="M1010" t="b">
        <v>0</v>
      </c>
      <c r="O1010" s="1">
        <v>46199.588703703703</v>
      </c>
    </row>
    <row r="1011" spans="1:15" x14ac:dyDescent="0.25">
      <c r="A1011">
        <v>-2045599861</v>
      </c>
      <c r="B1011" t="s">
        <v>735</v>
      </c>
      <c r="G1011">
        <v>41</v>
      </c>
      <c r="H1011" t="s">
        <v>29</v>
      </c>
      <c r="I1011">
        <v>220</v>
      </c>
      <c r="J1011">
        <v>220.3</v>
      </c>
      <c r="L1011" t="s">
        <v>12</v>
      </c>
      <c r="M1011" t="b">
        <v>0</v>
      </c>
      <c r="O1011" s="1">
        <v>46199.588703703703</v>
      </c>
    </row>
    <row r="1012" spans="1:15" x14ac:dyDescent="0.25">
      <c r="A1012">
        <v>-1201869456</v>
      </c>
      <c r="B1012" t="s">
        <v>735</v>
      </c>
      <c r="G1012">
        <v>35</v>
      </c>
      <c r="H1012" t="s">
        <v>36</v>
      </c>
      <c r="I1012">
        <v>20</v>
      </c>
      <c r="J1012">
        <v>20.3</v>
      </c>
      <c r="L1012" t="s">
        <v>15</v>
      </c>
      <c r="M1012" t="b">
        <v>0</v>
      </c>
      <c r="O1012" s="1">
        <v>46199.588703703703</v>
      </c>
    </row>
    <row r="1013" spans="1:15" x14ac:dyDescent="0.25">
      <c r="A1013">
        <v>296246449</v>
      </c>
      <c r="B1013" t="s">
        <v>735</v>
      </c>
      <c r="G1013">
        <v>44</v>
      </c>
      <c r="H1013" t="s">
        <v>16</v>
      </c>
      <c r="I1013">
        <v>30</v>
      </c>
      <c r="J1013">
        <v>30.6</v>
      </c>
      <c r="L1013" t="s">
        <v>15</v>
      </c>
      <c r="M1013" t="b">
        <v>0</v>
      </c>
      <c r="O1013" s="1">
        <v>46199.588703703703</v>
      </c>
    </row>
    <row r="1014" spans="1:15" x14ac:dyDescent="0.25">
      <c r="A1014">
        <v>-189443734</v>
      </c>
      <c r="B1014" t="s">
        <v>736</v>
      </c>
      <c r="C1014" t="s">
        <v>737</v>
      </c>
      <c r="D1014" t="s">
        <v>428</v>
      </c>
      <c r="E1014" t="s">
        <v>313</v>
      </c>
      <c r="F1014">
        <v>250</v>
      </c>
      <c r="K1014" s="1">
        <v>46199.675833333335</v>
      </c>
      <c r="M1014" t="b">
        <v>0</v>
      </c>
      <c r="O1014" s="1">
        <v>46199.675833333335</v>
      </c>
    </row>
    <row r="1015" spans="1:15" x14ac:dyDescent="0.25">
      <c r="A1015">
        <v>-1283159133</v>
      </c>
      <c r="B1015" t="s">
        <v>736</v>
      </c>
      <c r="G1015">
        <v>41</v>
      </c>
      <c r="H1015" t="s">
        <v>29</v>
      </c>
      <c r="I1015">
        <v>1480</v>
      </c>
      <c r="J1015">
        <v>1475.2</v>
      </c>
      <c r="L1015" t="s">
        <v>12</v>
      </c>
      <c r="M1015" t="b">
        <v>0</v>
      </c>
      <c r="O1015" s="1">
        <v>46199.675833333335</v>
      </c>
    </row>
    <row r="1016" spans="1:15" x14ac:dyDescent="0.25">
      <c r="A1016">
        <v>-1652490840</v>
      </c>
      <c r="B1016" t="s">
        <v>736</v>
      </c>
      <c r="G1016">
        <v>44</v>
      </c>
      <c r="H1016" t="s">
        <v>16</v>
      </c>
      <c r="I1016">
        <v>59.25</v>
      </c>
      <c r="J1016">
        <v>59.1</v>
      </c>
      <c r="L1016" t="s">
        <v>12</v>
      </c>
      <c r="M1016" t="b">
        <v>0</v>
      </c>
      <c r="O1016" s="1">
        <v>46199.675833333335</v>
      </c>
    </row>
    <row r="1017" spans="1:15" x14ac:dyDescent="0.25">
      <c r="A1017">
        <v>-1248754039</v>
      </c>
      <c r="B1017" t="s">
        <v>736</v>
      </c>
      <c r="G1017">
        <v>35</v>
      </c>
      <c r="H1017" t="s">
        <v>36</v>
      </c>
      <c r="I1017">
        <v>104</v>
      </c>
      <c r="J1017">
        <v>103.9</v>
      </c>
      <c r="L1017" t="s">
        <v>12</v>
      </c>
      <c r="M1017" t="b">
        <v>0</v>
      </c>
      <c r="O1017" s="1">
        <v>46199.675833333335</v>
      </c>
    </row>
    <row r="1018" spans="1:15" x14ac:dyDescent="0.25">
      <c r="A1018">
        <v>-1432996969</v>
      </c>
      <c r="B1018" t="s">
        <v>738</v>
      </c>
      <c r="C1018" t="s">
        <v>379</v>
      </c>
      <c r="D1018" t="s">
        <v>647</v>
      </c>
      <c r="E1018" t="s">
        <v>340</v>
      </c>
      <c r="F1018">
        <v>450</v>
      </c>
      <c r="K1018" s="1">
        <v>46199.770729166667</v>
      </c>
      <c r="M1018" t="b">
        <v>0</v>
      </c>
      <c r="O1018" s="1">
        <v>46199.770729166667</v>
      </c>
    </row>
    <row r="1019" spans="1:15" x14ac:dyDescent="0.25">
      <c r="A1019">
        <v>562084748</v>
      </c>
      <c r="B1019" t="s">
        <v>738</v>
      </c>
      <c r="G1019">
        <v>41</v>
      </c>
      <c r="H1019" t="s">
        <v>29</v>
      </c>
      <c r="I1019">
        <v>2250</v>
      </c>
      <c r="J1019">
        <v>2253.4</v>
      </c>
      <c r="L1019" t="s">
        <v>12</v>
      </c>
      <c r="M1019" t="b">
        <v>0</v>
      </c>
      <c r="O1019" s="1">
        <v>46199.770729166667</v>
      </c>
    </row>
    <row r="1020" spans="1:15" x14ac:dyDescent="0.25">
      <c r="A1020">
        <v>253823865</v>
      </c>
      <c r="B1020" t="s">
        <v>739</v>
      </c>
      <c r="C1020" t="s">
        <v>356</v>
      </c>
      <c r="D1020" t="s">
        <v>224</v>
      </c>
      <c r="E1020" t="s">
        <v>313</v>
      </c>
      <c r="F1020">
        <v>250</v>
      </c>
      <c r="K1020" s="1">
        <v>46199.808483796296</v>
      </c>
      <c r="M1020" t="b">
        <v>0</v>
      </c>
      <c r="O1020" s="1">
        <v>46199.808483796296</v>
      </c>
    </row>
    <row r="1021" spans="1:15" x14ac:dyDescent="0.25">
      <c r="A1021">
        <v>-1705133498</v>
      </c>
      <c r="B1021" t="s">
        <v>739</v>
      </c>
      <c r="G1021">
        <v>41</v>
      </c>
      <c r="H1021" t="s">
        <v>29</v>
      </c>
      <c r="I1021">
        <v>4067.5</v>
      </c>
      <c r="J1021">
        <v>4064.9</v>
      </c>
      <c r="L1021" t="s">
        <v>12</v>
      </c>
      <c r="M1021" t="b">
        <v>0</v>
      </c>
      <c r="O1021" s="1">
        <v>46199.808483796296</v>
      </c>
    </row>
    <row r="1022" spans="1:15" x14ac:dyDescent="0.25">
      <c r="A1022">
        <v>190095951</v>
      </c>
      <c r="B1022" t="s">
        <v>739</v>
      </c>
      <c r="G1022">
        <v>35</v>
      </c>
      <c r="H1022" t="s">
        <v>36</v>
      </c>
      <c r="I1022">
        <v>591</v>
      </c>
      <c r="J1022">
        <v>591.70000000000005</v>
      </c>
      <c r="L1022" t="s">
        <v>12</v>
      </c>
      <c r="M1022" t="b">
        <v>0</v>
      </c>
      <c r="O1022" s="1">
        <v>46199.808483796296</v>
      </c>
    </row>
    <row r="1023" spans="1:15" x14ac:dyDescent="0.25">
      <c r="A1023">
        <v>1349747172</v>
      </c>
      <c r="B1023" t="s">
        <v>739</v>
      </c>
      <c r="G1023">
        <v>16</v>
      </c>
      <c r="H1023" t="s">
        <v>13</v>
      </c>
      <c r="I1023">
        <v>542.5</v>
      </c>
      <c r="J1023">
        <v>545.20000000000005</v>
      </c>
      <c r="L1023" t="s">
        <v>12</v>
      </c>
      <c r="M1023" t="b">
        <v>0</v>
      </c>
      <c r="O1023" s="1">
        <v>46199.808483796296</v>
      </c>
    </row>
    <row r="1024" spans="1:15" x14ac:dyDescent="0.25">
      <c r="A1024">
        <v>-937483891</v>
      </c>
      <c r="B1024" t="s">
        <v>740</v>
      </c>
      <c r="C1024" t="s">
        <v>737</v>
      </c>
      <c r="D1024" t="s">
        <v>428</v>
      </c>
      <c r="E1024" t="s">
        <v>313</v>
      </c>
      <c r="F1024">
        <v>250</v>
      </c>
      <c r="K1024" s="1">
        <v>46199.821469907409</v>
      </c>
      <c r="M1024" t="b">
        <v>0</v>
      </c>
      <c r="O1024" s="1">
        <v>46199.821469907409</v>
      </c>
    </row>
    <row r="1025" spans="1:15" x14ac:dyDescent="0.25">
      <c r="A1025">
        <v>-2015521846</v>
      </c>
      <c r="B1025" t="s">
        <v>740</v>
      </c>
      <c r="G1025">
        <v>41</v>
      </c>
      <c r="H1025" t="s">
        <v>29</v>
      </c>
      <c r="I1025">
        <v>1480</v>
      </c>
      <c r="J1025">
        <v>1480.9</v>
      </c>
      <c r="L1025" t="s">
        <v>12</v>
      </c>
      <c r="M1025" t="b">
        <v>0</v>
      </c>
      <c r="O1025" s="1">
        <v>46199.821469907409</v>
      </c>
    </row>
    <row r="1026" spans="1:15" x14ac:dyDescent="0.25">
      <c r="A1026">
        <v>1966765699</v>
      </c>
      <c r="B1026" t="s">
        <v>740</v>
      </c>
      <c r="G1026">
        <v>44</v>
      </c>
      <c r="H1026" t="s">
        <v>16</v>
      </c>
      <c r="I1026">
        <v>59.25</v>
      </c>
      <c r="J1026">
        <v>58.4</v>
      </c>
      <c r="L1026" t="s">
        <v>15</v>
      </c>
      <c r="M1026" t="b">
        <v>0</v>
      </c>
      <c r="O1026" s="1">
        <v>46199.821469907409</v>
      </c>
    </row>
    <row r="1027" spans="1:15" x14ac:dyDescent="0.25">
      <c r="A1027">
        <v>1937803016</v>
      </c>
      <c r="B1027" t="s">
        <v>740</v>
      </c>
      <c r="G1027">
        <v>35</v>
      </c>
      <c r="H1027" t="s">
        <v>36</v>
      </c>
      <c r="I1027">
        <v>104</v>
      </c>
      <c r="J1027">
        <v>103.8</v>
      </c>
      <c r="L1027" t="s">
        <v>12</v>
      </c>
      <c r="M1027" t="b">
        <v>0</v>
      </c>
      <c r="O1027" s="1">
        <v>46199.821469907409</v>
      </c>
    </row>
    <row r="1028" spans="1:15" x14ac:dyDescent="0.25">
      <c r="A1028">
        <v>1625877609</v>
      </c>
      <c r="B1028" t="s">
        <v>741</v>
      </c>
      <c r="C1028" t="s">
        <v>419</v>
      </c>
      <c r="D1028" t="s">
        <v>596</v>
      </c>
      <c r="E1028" t="s">
        <v>364</v>
      </c>
      <c r="F1028">
        <v>250</v>
      </c>
      <c r="K1028" s="1">
        <v>46199.826736111114</v>
      </c>
      <c r="M1028" t="b">
        <v>0</v>
      </c>
      <c r="O1028" s="1">
        <v>46199.826736111114</v>
      </c>
    </row>
    <row r="1029" spans="1:15" x14ac:dyDescent="0.25">
      <c r="A1029">
        <v>446162038</v>
      </c>
      <c r="B1029" t="s">
        <v>741</v>
      </c>
      <c r="G1029">
        <v>41</v>
      </c>
      <c r="H1029" t="s">
        <v>29</v>
      </c>
      <c r="I1029">
        <v>2750</v>
      </c>
      <c r="J1029">
        <v>2751.4</v>
      </c>
      <c r="L1029" t="s">
        <v>12</v>
      </c>
      <c r="M1029" t="b">
        <v>0</v>
      </c>
      <c r="O1029" s="1">
        <v>46199.826736111114</v>
      </c>
    </row>
    <row r="1030" spans="1:15" x14ac:dyDescent="0.25">
      <c r="A1030">
        <v>1937059007</v>
      </c>
      <c r="B1030" t="s">
        <v>741</v>
      </c>
      <c r="G1030">
        <v>44</v>
      </c>
      <c r="H1030" t="s">
        <v>16</v>
      </c>
      <c r="I1030">
        <v>27.75</v>
      </c>
      <c r="J1030">
        <v>28.3</v>
      </c>
      <c r="L1030" t="s">
        <v>15</v>
      </c>
      <c r="M1030" t="b">
        <v>0</v>
      </c>
      <c r="O1030" s="1">
        <v>46199.826736111114</v>
      </c>
    </row>
    <row r="1031" spans="1:15" x14ac:dyDescent="0.25">
      <c r="A1031">
        <v>1183610772</v>
      </c>
      <c r="B1031" t="s">
        <v>741</v>
      </c>
      <c r="G1031">
        <v>35</v>
      </c>
      <c r="H1031" t="s">
        <v>36</v>
      </c>
      <c r="I1031">
        <v>250</v>
      </c>
      <c r="J1031">
        <v>250.5</v>
      </c>
      <c r="L1031" t="s">
        <v>12</v>
      </c>
      <c r="M1031" t="b">
        <v>0</v>
      </c>
      <c r="O1031" s="1">
        <v>46199.826736111114</v>
      </c>
    </row>
    <row r="1032" spans="1:15" x14ac:dyDescent="0.25">
      <c r="A1032">
        <v>-1692402427</v>
      </c>
      <c r="B1032" t="s">
        <v>742</v>
      </c>
      <c r="C1032" t="s">
        <v>362</v>
      </c>
      <c r="D1032" t="s">
        <v>743</v>
      </c>
      <c r="E1032" t="s">
        <v>364</v>
      </c>
      <c r="F1032">
        <v>250</v>
      </c>
      <c r="K1032" s="1">
        <v>46199.829791666663</v>
      </c>
      <c r="M1032" t="b">
        <v>0</v>
      </c>
      <c r="O1032" s="1">
        <v>46199.829791666663</v>
      </c>
    </row>
    <row r="1033" spans="1:15" x14ac:dyDescent="0.25">
      <c r="A1033">
        <v>-365824030</v>
      </c>
      <c r="B1033" t="s">
        <v>742</v>
      </c>
      <c r="G1033">
        <v>41</v>
      </c>
      <c r="H1033" t="s">
        <v>29</v>
      </c>
      <c r="I1033">
        <v>1720</v>
      </c>
      <c r="J1033">
        <v>1721</v>
      </c>
      <c r="L1033" t="s">
        <v>12</v>
      </c>
      <c r="M1033" t="b">
        <v>0</v>
      </c>
      <c r="O1033" s="1">
        <v>46199.829791666663</v>
      </c>
    </row>
    <row r="1034" spans="1:15" x14ac:dyDescent="0.25">
      <c r="A1034">
        <v>503160507</v>
      </c>
      <c r="B1034" t="s">
        <v>742</v>
      </c>
      <c r="G1034">
        <v>68</v>
      </c>
      <c r="H1034" t="s">
        <v>14</v>
      </c>
      <c r="I1034">
        <v>65</v>
      </c>
      <c r="J1034">
        <v>65.5</v>
      </c>
      <c r="L1034" t="s">
        <v>12</v>
      </c>
      <c r="M1034" t="b">
        <v>0</v>
      </c>
      <c r="O1034" s="1">
        <v>46199.829791666663</v>
      </c>
    </row>
    <row r="1035" spans="1:15" x14ac:dyDescent="0.25">
      <c r="A1035">
        <v>1777395936</v>
      </c>
      <c r="B1035" t="s">
        <v>742</v>
      </c>
      <c r="G1035">
        <v>44</v>
      </c>
      <c r="H1035" t="s">
        <v>16</v>
      </c>
      <c r="I1035">
        <v>74.75</v>
      </c>
      <c r="J1035">
        <v>74.2</v>
      </c>
      <c r="L1035" t="s">
        <v>12</v>
      </c>
      <c r="M1035" t="b">
        <v>0</v>
      </c>
      <c r="O1035" s="1">
        <v>46199.829791666663</v>
      </c>
    </row>
    <row r="1036" spans="1:15" x14ac:dyDescent="0.25">
      <c r="A1036">
        <v>-393072799</v>
      </c>
      <c r="B1036" t="s">
        <v>744</v>
      </c>
      <c r="C1036" t="s">
        <v>694</v>
      </c>
      <c r="D1036" t="s">
        <v>695</v>
      </c>
      <c r="E1036" t="s">
        <v>340</v>
      </c>
      <c r="F1036">
        <v>100</v>
      </c>
      <c r="K1036" s="1">
        <v>46199.835266203707</v>
      </c>
      <c r="M1036" t="b">
        <v>0</v>
      </c>
      <c r="O1036" s="1">
        <v>46199.835266203707</v>
      </c>
    </row>
    <row r="1037" spans="1:15" x14ac:dyDescent="0.25">
      <c r="A1037">
        <v>-343705074</v>
      </c>
      <c r="B1037" t="s">
        <v>744</v>
      </c>
      <c r="G1037">
        <v>41</v>
      </c>
      <c r="H1037" t="s">
        <v>29</v>
      </c>
      <c r="I1037">
        <v>704</v>
      </c>
      <c r="J1037">
        <v>705</v>
      </c>
      <c r="L1037" t="s">
        <v>12</v>
      </c>
      <c r="M1037" t="b">
        <v>0</v>
      </c>
      <c r="O1037" s="1">
        <v>46199.835266203707</v>
      </c>
    </row>
    <row r="1038" spans="1:15" x14ac:dyDescent="0.25">
      <c r="A1038">
        <v>1128597623</v>
      </c>
      <c r="B1038" t="s">
        <v>744</v>
      </c>
      <c r="G1038">
        <v>49</v>
      </c>
      <c r="H1038" t="s">
        <v>181</v>
      </c>
      <c r="I1038">
        <v>47.8</v>
      </c>
      <c r="J1038">
        <v>48.4</v>
      </c>
      <c r="L1038" t="s">
        <v>15</v>
      </c>
      <c r="M1038" t="b">
        <v>0</v>
      </c>
      <c r="O1038" s="1">
        <v>46199.835266203707</v>
      </c>
    </row>
    <row r="1039" spans="1:15" x14ac:dyDescent="0.25">
      <c r="A1039">
        <v>-478320916</v>
      </c>
      <c r="B1039" t="s">
        <v>744</v>
      </c>
      <c r="G1039">
        <v>51</v>
      </c>
      <c r="H1039" t="s">
        <v>137</v>
      </c>
      <c r="I1039">
        <v>151</v>
      </c>
      <c r="J1039">
        <v>151.6</v>
      </c>
      <c r="L1039" t="s">
        <v>12</v>
      </c>
      <c r="M1039" t="b">
        <v>0</v>
      </c>
      <c r="O1039" s="1">
        <v>46199.835266203707</v>
      </c>
    </row>
    <row r="1040" spans="1:15" x14ac:dyDescent="0.25">
      <c r="A1040">
        <v>-1902268864</v>
      </c>
      <c r="B1040" t="s">
        <v>745</v>
      </c>
      <c r="C1040" t="s">
        <v>746</v>
      </c>
      <c r="D1040" t="s">
        <v>343</v>
      </c>
      <c r="E1040" t="s">
        <v>336</v>
      </c>
      <c r="F1040">
        <v>50</v>
      </c>
      <c r="K1040" s="1">
        <v>46199.88417824074</v>
      </c>
      <c r="M1040" t="b">
        <v>0</v>
      </c>
      <c r="O1040" s="1">
        <v>46199.88417824074</v>
      </c>
    </row>
    <row r="1041" spans="1:15" x14ac:dyDescent="0.25">
      <c r="A1041">
        <v>205857089</v>
      </c>
      <c r="B1041" t="s">
        <v>745</v>
      </c>
      <c r="G1041">
        <v>41</v>
      </c>
      <c r="H1041" t="s">
        <v>29</v>
      </c>
      <c r="I1041">
        <v>654</v>
      </c>
      <c r="J1041">
        <v>650.5</v>
      </c>
      <c r="L1041" t="s">
        <v>12</v>
      </c>
      <c r="M1041" t="b">
        <v>0</v>
      </c>
      <c r="O1041" s="1">
        <v>46199.88417824074</v>
      </c>
    </row>
    <row r="1042" spans="1:15" x14ac:dyDescent="0.25">
      <c r="A1042">
        <v>256327278</v>
      </c>
      <c r="B1042" t="s">
        <v>745</v>
      </c>
      <c r="G1042">
        <v>35</v>
      </c>
      <c r="H1042" t="s">
        <v>36</v>
      </c>
      <c r="I1042">
        <v>340</v>
      </c>
      <c r="J1042">
        <v>339</v>
      </c>
      <c r="L1042" t="s">
        <v>12</v>
      </c>
      <c r="M1042" t="b">
        <v>0</v>
      </c>
      <c r="O1042" s="1">
        <v>46199.88417824074</v>
      </c>
    </row>
    <row r="1043" spans="1:15" x14ac:dyDescent="0.25">
      <c r="A1043">
        <v>-1491284649</v>
      </c>
      <c r="B1043" t="s">
        <v>745</v>
      </c>
      <c r="G1043">
        <v>44</v>
      </c>
      <c r="H1043" t="s">
        <v>16</v>
      </c>
      <c r="I1043">
        <v>37.5</v>
      </c>
      <c r="J1043">
        <v>37.5</v>
      </c>
      <c r="L1043" t="s">
        <v>12</v>
      </c>
      <c r="M1043" t="b">
        <v>0</v>
      </c>
      <c r="O1043" s="1">
        <v>46199.88417824074</v>
      </c>
    </row>
    <row r="1044" spans="1:15" x14ac:dyDescent="0.25">
      <c r="A1044">
        <v>592200268</v>
      </c>
      <c r="B1044" t="s">
        <v>747</v>
      </c>
      <c r="C1044" t="s">
        <v>342</v>
      </c>
      <c r="D1044" t="s">
        <v>748</v>
      </c>
      <c r="E1044" t="s">
        <v>336</v>
      </c>
      <c r="F1044">
        <v>50</v>
      </c>
      <c r="K1044" s="1">
        <v>46199.887743055559</v>
      </c>
      <c r="M1044" t="b">
        <v>0</v>
      </c>
      <c r="O1044" s="1">
        <v>46199.887743055559</v>
      </c>
    </row>
    <row r="1045" spans="1:15" x14ac:dyDescent="0.25">
      <c r="A1045">
        <v>-822612131</v>
      </c>
      <c r="B1045" t="s">
        <v>747</v>
      </c>
      <c r="G1045">
        <v>41</v>
      </c>
      <c r="H1045" t="s">
        <v>29</v>
      </c>
      <c r="I1045">
        <v>380.5</v>
      </c>
      <c r="J1045">
        <v>381.8</v>
      </c>
      <c r="L1045" t="s">
        <v>12</v>
      </c>
      <c r="M1045" t="b">
        <v>0</v>
      </c>
      <c r="O1045" s="1">
        <v>46199.887743055559</v>
      </c>
    </row>
    <row r="1046" spans="1:15" x14ac:dyDescent="0.25">
      <c r="A1046">
        <v>-387800742</v>
      </c>
      <c r="B1046" t="s">
        <v>747</v>
      </c>
      <c r="G1046">
        <v>68</v>
      </c>
      <c r="H1046" t="s">
        <v>14</v>
      </c>
      <c r="I1046">
        <v>59.5</v>
      </c>
      <c r="J1046">
        <v>60.1</v>
      </c>
      <c r="L1046" t="s">
        <v>15</v>
      </c>
      <c r="M1046" t="b">
        <v>0</v>
      </c>
      <c r="O1046" s="1">
        <v>46199.887743055559</v>
      </c>
    </row>
    <row r="1047" spans="1:15" x14ac:dyDescent="0.25">
      <c r="A1047">
        <v>-1588774701</v>
      </c>
      <c r="B1047" t="s">
        <v>747</v>
      </c>
      <c r="G1047">
        <v>11</v>
      </c>
      <c r="H1047" t="s">
        <v>33</v>
      </c>
      <c r="I1047">
        <v>18.5</v>
      </c>
      <c r="J1047">
        <v>19.3</v>
      </c>
      <c r="L1047" t="s">
        <v>15</v>
      </c>
      <c r="M1047" t="b">
        <v>0</v>
      </c>
      <c r="O1047" s="1">
        <v>46199.887743055559</v>
      </c>
    </row>
    <row r="1048" spans="1:15" x14ac:dyDescent="0.25">
      <c r="A1048">
        <v>-405437897</v>
      </c>
      <c r="B1048" t="s">
        <v>749</v>
      </c>
      <c r="C1048" t="s">
        <v>746</v>
      </c>
      <c r="D1048" t="s">
        <v>343</v>
      </c>
      <c r="E1048" t="s">
        <v>336</v>
      </c>
      <c r="F1048">
        <v>50</v>
      </c>
      <c r="K1048" s="1">
        <v>46199.991307870368</v>
      </c>
      <c r="M1048" t="b">
        <v>0</v>
      </c>
      <c r="O1048" s="1">
        <v>46199.991307870368</v>
      </c>
    </row>
    <row r="1049" spans="1:15" x14ac:dyDescent="0.25">
      <c r="A1049">
        <v>1313164716</v>
      </c>
      <c r="B1049" t="s">
        <v>749</v>
      </c>
      <c r="G1049">
        <v>41</v>
      </c>
      <c r="H1049" t="s">
        <v>29</v>
      </c>
      <c r="I1049">
        <v>800</v>
      </c>
      <c r="J1049">
        <v>800.9</v>
      </c>
      <c r="L1049" t="s">
        <v>12</v>
      </c>
      <c r="M1049" t="b">
        <v>0</v>
      </c>
      <c r="O1049" s="1">
        <v>46199.991307870368</v>
      </c>
    </row>
    <row r="1050" spans="1:15" x14ac:dyDescent="0.25">
      <c r="A1050">
        <v>351743805</v>
      </c>
      <c r="B1050" t="s">
        <v>749</v>
      </c>
      <c r="G1050">
        <v>35</v>
      </c>
      <c r="H1050" t="s">
        <v>36</v>
      </c>
      <c r="I1050">
        <v>200</v>
      </c>
      <c r="J1050">
        <v>200</v>
      </c>
      <c r="L1050" t="s">
        <v>12</v>
      </c>
      <c r="M1050" t="b">
        <v>0</v>
      </c>
      <c r="O1050" s="1">
        <v>46199.991307870368</v>
      </c>
    </row>
    <row r="1051" spans="1:15" x14ac:dyDescent="0.25">
      <c r="A1051">
        <v>572791738</v>
      </c>
      <c r="B1051" t="s">
        <v>749</v>
      </c>
      <c r="G1051">
        <v>44</v>
      </c>
      <c r="H1051" t="s">
        <v>16</v>
      </c>
      <c r="I1051">
        <v>37.5</v>
      </c>
      <c r="J1051">
        <v>37</v>
      </c>
      <c r="L1051" t="s">
        <v>15</v>
      </c>
      <c r="M1051" t="b">
        <v>0</v>
      </c>
      <c r="O1051" s="1">
        <v>46199.991307870368</v>
      </c>
    </row>
    <row r="1052" spans="1:15" x14ac:dyDescent="0.25">
      <c r="A1052">
        <v>1369852774</v>
      </c>
      <c r="B1052" t="s">
        <v>750</v>
      </c>
      <c r="C1052" t="s">
        <v>525</v>
      </c>
      <c r="D1052" t="s">
        <v>526</v>
      </c>
      <c r="E1052" t="s">
        <v>336</v>
      </c>
      <c r="F1052">
        <v>50</v>
      </c>
      <c r="K1052" s="1">
        <v>46200.039340277777</v>
      </c>
      <c r="M1052" t="b">
        <v>0</v>
      </c>
      <c r="O1052" s="1">
        <v>46200.039340277777</v>
      </c>
    </row>
    <row r="1053" spans="1:15" x14ac:dyDescent="0.25">
      <c r="A1053">
        <v>494462191</v>
      </c>
      <c r="B1053" t="s">
        <v>750</v>
      </c>
      <c r="G1053">
        <v>41</v>
      </c>
      <c r="H1053" t="s">
        <v>29</v>
      </c>
      <c r="I1053">
        <v>1335</v>
      </c>
      <c r="J1053">
        <v>1335</v>
      </c>
      <c r="L1053" t="s">
        <v>12</v>
      </c>
      <c r="M1053" t="b">
        <v>0</v>
      </c>
      <c r="O1053" s="1">
        <v>46200.039340277777</v>
      </c>
    </row>
    <row r="1054" spans="1:15" x14ac:dyDescent="0.25">
      <c r="A1054">
        <v>-1666254844</v>
      </c>
      <c r="B1054" t="s">
        <v>750</v>
      </c>
      <c r="G1054">
        <v>4</v>
      </c>
      <c r="H1054" t="s">
        <v>27</v>
      </c>
      <c r="I1054">
        <v>400</v>
      </c>
      <c r="J1054">
        <v>400</v>
      </c>
      <c r="L1054" t="s">
        <v>12</v>
      </c>
      <c r="M1054" t="b">
        <v>0</v>
      </c>
      <c r="O1054" s="1">
        <v>46200.039340277777</v>
      </c>
    </row>
    <row r="1055" spans="1:15" x14ac:dyDescent="0.25">
      <c r="A1055">
        <v>-894468591</v>
      </c>
      <c r="B1055" t="s">
        <v>751</v>
      </c>
      <c r="C1055" t="s">
        <v>737</v>
      </c>
      <c r="D1055" t="s">
        <v>428</v>
      </c>
      <c r="E1055" t="s">
        <v>313</v>
      </c>
      <c r="F1055">
        <v>250</v>
      </c>
      <c r="K1055" s="1">
        <v>46200.050740740742</v>
      </c>
      <c r="M1055" t="b">
        <v>0</v>
      </c>
      <c r="O1055" s="1">
        <v>46200.050740740742</v>
      </c>
    </row>
    <row r="1056" spans="1:15" x14ac:dyDescent="0.25">
      <c r="A1056">
        <v>995913470</v>
      </c>
      <c r="B1056" t="s">
        <v>751</v>
      </c>
      <c r="G1056">
        <v>41</v>
      </c>
      <c r="H1056" t="s">
        <v>29</v>
      </c>
      <c r="I1056">
        <v>1480</v>
      </c>
      <c r="J1056">
        <v>1480.9</v>
      </c>
      <c r="L1056" t="s">
        <v>12</v>
      </c>
      <c r="M1056" t="b">
        <v>0</v>
      </c>
      <c r="O1056" s="1">
        <v>46200.050740740742</v>
      </c>
    </row>
    <row r="1057" spans="1:15" x14ac:dyDescent="0.25">
      <c r="A1057">
        <v>-998787417</v>
      </c>
      <c r="B1057" t="s">
        <v>751</v>
      </c>
      <c r="G1057">
        <v>44</v>
      </c>
      <c r="H1057" t="s">
        <v>16</v>
      </c>
      <c r="I1057">
        <v>59.25</v>
      </c>
      <c r="J1057">
        <v>59.6</v>
      </c>
      <c r="L1057" t="s">
        <v>12</v>
      </c>
      <c r="M1057" t="b">
        <v>0</v>
      </c>
      <c r="O1057" s="1">
        <v>46200.050740740742</v>
      </c>
    </row>
    <row r="1058" spans="1:15" x14ac:dyDescent="0.25">
      <c r="A1058">
        <v>-1109056164</v>
      </c>
      <c r="B1058" t="s">
        <v>751</v>
      </c>
      <c r="G1058">
        <v>35</v>
      </c>
      <c r="H1058" t="s">
        <v>36</v>
      </c>
      <c r="I1058">
        <v>104</v>
      </c>
      <c r="J1058">
        <v>103.7</v>
      </c>
      <c r="L1058" t="s">
        <v>12</v>
      </c>
      <c r="M1058" t="b">
        <v>0</v>
      </c>
      <c r="O1058" s="1">
        <v>46200.050740740742</v>
      </c>
    </row>
    <row r="1059" spans="1:15" x14ac:dyDescent="0.25">
      <c r="A1059">
        <v>-1124540643</v>
      </c>
      <c r="B1059" t="s">
        <v>752</v>
      </c>
      <c r="C1059" t="s">
        <v>612</v>
      </c>
      <c r="D1059" t="s">
        <v>613</v>
      </c>
      <c r="E1059" t="s">
        <v>340</v>
      </c>
      <c r="F1059">
        <v>50</v>
      </c>
      <c r="K1059" s="1">
        <v>46200.09648148148</v>
      </c>
      <c r="M1059" t="b">
        <v>0</v>
      </c>
      <c r="O1059" s="1">
        <v>46200.09648148148</v>
      </c>
    </row>
    <row r="1060" spans="1:15" x14ac:dyDescent="0.25">
      <c r="A1060">
        <v>-965523942</v>
      </c>
      <c r="B1060" t="s">
        <v>752</v>
      </c>
      <c r="G1060">
        <v>41</v>
      </c>
      <c r="H1060" t="s">
        <v>29</v>
      </c>
      <c r="I1060">
        <v>334.5</v>
      </c>
      <c r="J1060">
        <v>333.3</v>
      </c>
      <c r="L1060" t="s">
        <v>12</v>
      </c>
      <c r="M1060" t="b">
        <v>0</v>
      </c>
      <c r="O1060" s="1">
        <v>46200.09648148148</v>
      </c>
    </row>
    <row r="1061" spans="1:15" x14ac:dyDescent="0.25">
      <c r="A1061">
        <v>-138498413</v>
      </c>
      <c r="B1061" t="s">
        <v>752</v>
      </c>
      <c r="G1061">
        <v>35</v>
      </c>
      <c r="H1061" t="s">
        <v>36</v>
      </c>
      <c r="I1061">
        <v>30.35</v>
      </c>
      <c r="J1061">
        <v>29.9</v>
      </c>
      <c r="L1061" t="s">
        <v>15</v>
      </c>
      <c r="M1061" t="b">
        <v>0</v>
      </c>
      <c r="O1061" s="1">
        <v>46200.09648148148</v>
      </c>
    </row>
    <row r="1062" spans="1:15" x14ac:dyDescent="0.25">
      <c r="A1062">
        <v>-484654632</v>
      </c>
      <c r="B1062" t="s">
        <v>752</v>
      </c>
      <c r="G1062">
        <v>11</v>
      </c>
      <c r="H1062" t="s">
        <v>33</v>
      </c>
      <c r="I1062">
        <v>18.3</v>
      </c>
      <c r="J1062">
        <v>24.2</v>
      </c>
      <c r="L1062" t="s">
        <v>15</v>
      </c>
      <c r="M1062" t="b">
        <v>0</v>
      </c>
      <c r="O1062" s="1">
        <v>46200.09648148148</v>
      </c>
    </row>
    <row r="1063" spans="1:15" x14ac:dyDescent="0.25">
      <c r="A1063">
        <v>3547897</v>
      </c>
      <c r="B1063" t="s">
        <v>753</v>
      </c>
      <c r="C1063" t="s">
        <v>481</v>
      </c>
      <c r="D1063" t="s">
        <v>482</v>
      </c>
      <c r="E1063" t="s">
        <v>336</v>
      </c>
      <c r="F1063">
        <v>50</v>
      </c>
      <c r="K1063" s="1">
        <v>46200.110949074071</v>
      </c>
      <c r="M1063" t="b">
        <v>0</v>
      </c>
      <c r="O1063" s="1">
        <v>46200.110949074071</v>
      </c>
    </row>
    <row r="1064" spans="1:15" x14ac:dyDescent="0.25">
      <c r="A1064">
        <v>1311759302</v>
      </c>
      <c r="B1064" t="s">
        <v>753</v>
      </c>
      <c r="G1064">
        <v>41</v>
      </c>
      <c r="H1064" t="s">
        <v>29</v>
      </c>
      <c r="I1064">
        <v>625</v>
      </c>
      <c r="J1064">
        <v>625.6</v>
      </c>
      <c r="L1064" t="s">
        <v>12</v>
      </c>
      <c r="M1064" t="b">
        <v>0</v>
      </c>
      <c r="O1064" s="1">
        <v>46200.110949074071</v>
      </c>
    </row>
    <row r="1065" spans="1:15" x14ac:dyDescent="0.25">
      <c r="A1065">
        <v>1365083599</v>
      </c>
      <c r="B1065" t="s">
        <v>753</v>
      </c>
      <c r="G1065">
        <v>4</v>
      </c>
      <c r="H1065" t="s">
        <v>27</v>
      </c>
      <c r="I1065">
        <v>75</v>
      </c>
      <c r="J1065">
        <v>75.2</v>
      </c>
      <c r="L1065" t="s">
        <v>12</v>
      </c>
      <c r="M1065" t="b">
        <v>0</v>
      </c>
      <c r="O1065" s="1">
        <v>46200.110949074071</v>
      </c>
    </row>
    <row r="1066" spans="1:15" x14ac:dyDescent="0.25">
      <c r="A1066">
        <v>-60260508</v>
      </c>
      <c r="B1066" t="s">
        <v>753</v>
      </c>
      <c r="G1066">
        <v>44</v>
      </c>
      <c r="H1066" t="s">
        <v>16</v>
      </c>
      <c r="I1066">
        <v>26</v>
      </c>
      <c r="J1066">
        <v>26</v>
      </c>
      <c r="L1066" t="s">
        <v>12</v>
      </c>
      <c r="M1066" t="b">
        <v>0</v>
      </c>
      <c r="O1066" s="1">
        <v>46200.110949074071</v>
      </c>
    </row>
    <row r="1067" spans="1:15" x14ac:dyDescent="0.25">
      <c r="A1067">
        <v>634535061</v>
      </c>
      <c r="B1067" t="s">
        <v>754</v>
      </c>
      <c r="C1067" t="s">
        <v>525</v>
      </c>
      <c r="D1067" t="s">
        <v>526</v>
      </c>
      <c r="E1067" t="s">
        <v>336</v>
      </c>
      <c r="F1067">
        <v>50</v>
      </c>
      <c r="K1067" s="1">
        <v>46200.131053240744</v>
      </c>
      <c r="M1067" t="b">
        <v>0</v>
      </c>
      <c r="O1067" s="1">
        <v>46200.131053240744</v>
      </c>
    </row>
    <row r="1068" spans="1:15" x14ac:dyDescent="0.25">
      <c r="A1068">
        <v>-2069724110</v>
      </c>
      <c r="B1068" t="s">
        <v>754</v>
      </c>
      <c r="G1068">
        <v>41</v>
      </c>
      <c r="H1068" t="s">
        <v>29</v>
      </c>
      <c r="I1068">
        <v>1330</v>
      </c>
      <c r="J1068">
        <v>1330.3</v>
      </c>
      <c r="L1068" t="s">
        <v>12</v>
      </c>
      <c r="M1068" t="b">
        <v>0</v>
      </c>
      <c r="O1068" s="1">
        <v>46200.131053240744</v>
      </c>
    </row>
    <row r="1069" spans="1:15" x14ac:dyDescent="0.25">
      <c r="A1069">
        <v>-438949685</v>
      </c>
      <c r="B1069" t="s">
        <v>754</v>
      </c>
      <c r="G1069">
        <v>4</v>
      </c>
      <c r="H1069" t="s">
        <v>27</v>
      </c>
      <c r="I1069">
        <v>450</v>
      </c>
      <c r="J1069">
        <v>450.2</v>
      </c>
      <c r="L1069" t="s">
        <v>12</v>
      </c>
      <c r="M1069" t="b">
        <v>0</v>
      </c>
      <c r="O1069" s="1">
        <v>46200.131053240744</v>
      </c>
    </row>
    <row r="1070" spans="1:15" x14ac:dyDescent="0.25">
      <c r="A1070">
        <v>1222801596</v>
      </c>
      <c r="B1070" t="s">
        <v>755</v>
      </c>
      <c r="C1070" t="s">
        <v>756</v>
      </c>
      <c r="D1070" t="s">
        <v>757</v>
      </c>
      <c r="E1070" t="s">
        <v>340</v>
      </c>
      <c r="F1070">
        <v>100</v>
      </c>
      <c r="K1070" s="1">
        <v>46200.188136574077</v>
      </c>
      <c r="M1070" t="b">
        <v>0</v>
      </c>
      <c r="O1070" s="1">
        <v>46200.188136574077</v>
      </c>
    </row>
    <row r="1071" spans="1:15" x14ac:dyDescent="0.25">
      <c r="A1071">
        <v>-884465395</v>
      </c>
      <c r="B1071" t="s">
        <v>755</v>
      </c>
      <c r="G1071">
        <v>41</v>
      </c>
      <c r="H1071" t="s">
        <v>29</v>
      </c>
      <c r="I1071">
        <v>920</v>
      </c>
      <c r="J1071">
        <v>921.2</v>
      </c>
      <c r="L1071" t="s">
        <v>12</v>
      </c>
      <c r="M1071" t="b">
        <v>0</v>
      </c>
      <c r="O1071" s="1">
        <v>46200.188136574077</v>
      </c>
    </row>
    <row r="1072" spans="1:15" x14ac:dyDescent="0.25">
      <c r="A1072">
        <v>1268743498</v>
      </c>
      <c r="B1072" t="s">
        <v>755</v>
      </c>
      <c r="G1072">
        <v>35</v>
      </c>
      <c r="H1072" t="s">
        <v>36</v>
      </c>
      <c r="I1072">
        <v>90</v>
      </c>
      <c r="J1072">
        <v>91.2</v>
      </c>
      <c r="L1072" t="s">
        <v>15</v>
      </c>
      <c r="M1072" t="b">
        <v>0</v>
      </c>
      <c r="O1072" s="1">
        <v>46200.188136574077</v>
      </c>
    </row>
    <row r="1073" spans="1:15" x14ac:dyDescent="0.25">
      <c r="A1073">
        <v>-166100477</v>
      </c>
      <c r="B1073" t="s">
        <v>755</v>
      </c>
      <c r="G1073">
        <v>44</v>
      </c>
      <c r="H1073" t="s">
        <v>16</v>
      </c>
      <c r="I1073">
        <v>100</v>
      </c>
      <c r="J1073">
        <v>101.7</v>
      </c>
      <c r="L1073" t="s">
        <v>15</v>
      </c>
      <c r="M1073" t="b">
        <v>0</v>
      </c>
      <c r="O1073" s="1">
        <v>46200.188136574077</v>
      </c>
    </row>
    <row r="1074" spans="1:15" x14ac:dyDescent="0.25">
      <c r="A1074">
        <v>560846100</v>
      </c>
      <c r="B1074" t="s">
        <v>758</v>
      </c>
      <c r="C1074" t="s">
        <v>756</v>
      </c>
      <c r="D1074" t="s">
        <v>757</v>
      </c>
      <c r="E1074" t="s">
        <v>340</v>
      </c>
      <c r="F1074">
        <v>100</v>
      </c>
      <c r="K1074" s="1">
        <v>46200.230740740742</v>
      </c>
      <c r="M1074" t="b">
        <v>0</v>
      </c>
      <c r="O1074" s="1">
        <v>46200.230740740742</v>
      </c>
    </row>
    <row r="1075" spans="1:15" x14ac:dyDescent="0.25">
      <c r="A1075">
        <v>1857973381</v>
      </c>
      <c r="B1075" t="s">
        <v>758</v>
      </c>
      <c r="G1075">
        <v>41</v>
      </c>
      <c r="H1075" t="s">
        <v>29</v>
      </c>
      <c r="I1075">
        <v>920</v>
      </c>
      <c r="J1075">
        <v>921.9</v>
      </c>
      <c r="L1075" t="s">
        <v>12</v>
      </c>
      <c r="M1075" t="b">
        <v>0</v>
      </c>
      <c r="O1075" s="1">
        <v>46200.230740740742</v>
      </c>
    </row>
    <row r="1076" spans="1:15" x14ac:dyDescent="0.25">
      <c r="A1076">
        <v>-717713054</v>
      </c>
      <c r="B1076" t="s">
        <v>758</v>
      </c>
      <c r="G1076">
        <v>35</v>
      </c>
      <c r="H1076" t="s">
        <v>36</v>
      </c>
      <c r="I1076">
        <v>90</v>
      </c>
      <c r="J1076">
        <v>91.3</v>
      </c>
      <c r="L1076" t="s">
        <v>15</v>
      </c>
      <c r="M1076" t="b">
        <v>0</v>
      </c>
      <c r="O1076" s="1">
        <v>46200.230740740742</v>
      </c>
    </row>
    <row r="1077" spans="1:15" x14ac:dyDescent="0.25">
      <c r="A1077">
        <v>1007655483</v>
      </c>
      <c r="B1077" t="s">
        <v>758</v>
      </c>
      <c r="G1077">
        <v>44</v>
      </c>
      <c r="H1077" t="s">
        <v>16</v>
      </c>
      <c r="I1077">
        <v>100</v>
      </c>
      <c r="J1077">
        <v>100</v>
      </c>
      <c r="L1077" t="s">
        <v>12</v>
      </c>
      <c r="M1077" t="b">
        <v>0</v>
      </c>
      <c r="O1077" s="1">
        <v>46200.230740740742</v>
      </c>
    </row>
    <row r="1078" spans="1:15" x14ac:dyDescent="0.25">
      <c r="A1078">
        <v>251469925</v>
      </c>
      <c r="B1078" t="s">
        <v>759</v>
      </c>
      <c r="C1078" t="s">
        <v>653</v>
      </c>
      <c r="D1078" t="s">
        <v>654</v>
      </c>
      <c r="E1078" t="s">
        <v>336</v>
      </c>
      <c r="F1078">
        <v>50</v>
      </c>
      <c r="K1078" s="1">
        <v>46200.331770833334</v>
      </c>
      <c r="M1078" t="b">
        <v>0</v>
      </c>
      <c r="O1078" s="1">
        <v>46200.331770833334</v>
      </c>
    </row>
    <row r="1079" spans="1:15" x14ac:dyDescent="0.25">
      <c r="A1079">
        <v>-304517182</v>
      </c>
      <c r="B1079" t="s">
        <v>759</v>
      </c>
      <c r="G1079">
        <v>41</v>
      </c>
      <c r="H1079" t="s">
        <v>29</v>
      </c>
      <c r="I1079">
        <v>725</v>
      </c>
      <c r="J1079">
        <v>725.7</v>
      </c>
      <c r="L1079" t="s">
        <v>12</v>
      </c>
      <c r="M1079" t="b">
        <v>0</v>
      </c>
      <c r="O1079" s="1">
        <v>46200.331770833334</v>
      </c>
    </row>
    <row r="1080" spans="1:15" x14ac:dyDescent="0.25">
      <c r="A1080">
        <v>-864730921</v>
      </c>
      <c r="B1080" t="s">
        <v>760</v>
      </c>
      <c r="C1080" t="s">
        <v>612</v>
      </c>
      <c r="D1080" t="s">
        <v>613</v>
      </c>
      <c r="E1080" t="s">
        <v>340</v>
      </c>
      <c r="F1080">
        <v>50</v>
      </c>
      <c r="K1080" s="1">
        <v>46200.338113425925</v>
      </c>
      <c r="M1080" t="b">
        <v>0</v>
      </c>
      <c r="O1080" s="1">
        <v>46200.338113425925</v>
      </c>
    </row>
    <row r="1081" spans="1:15" x14ac:dyDescent="0.25">
      <c r="A1081">
        <v>-1952608308</v>
      </c>
      <c r="B1081" t="s">
        <v>760</v>
      </c>
      <c r="G1081">
        <v>41</v>
      </c>
      <c r="H1081" t="s">
        <v>29</v>
      </c>
      <c r="I1081">
        <v>334.5</v>
      </c>
      <c r="J1081">
        <v>334</v>
      </c>
      <c r="L1081" t="s">
        <v>12</v>
      </c>
      <c r="M1081" t="b">
        <v>0</v>
      </c>
      <c r="O1081" s="1">
        <v>46200.338113425925</v>
      </c>
    </row>
    <row r="1082" spans="1:15" x14ac:dyDescent="0.25">
      <c r="A1082">
        <v>283348701</v>
      </c>
      <c r="B1082" t="s">
        <v>760</v>
      </c>
      <c r="G1082">
        <v>35</v>
      </c>
      <c r="H1082" t="s">
        <v>36</v>
      </c>
      <c r="I1082">
        <v>30.35</v>
      </c>
      <c r="J1082">
        <v>30.2</v>
      </c>
      <c r="L1082" t="s">
        <v>12</v>
      </c>
      <c r="M1082" t="b">
        <v>0</v>
      </c>
      <c r="O1082" s="1">
        <v>46200.338113425925</v>
      </c>
    </row>
    <row r="1083" spans="1:15" x14ac:dyDescent="0.25">
      <c r="A1083">
        <v>-1868911910</v>
      </c>
      <c r="B1083" t="s">
        <v>760</v>
      </c>
      <c r="G1083">
        <v>11</v>
      </c>
      <c r="H1083" t="s">
        <v>33</v>
      </c>
      <c r="I1083">
        <v>18.3</v>
      </c>
      <c r="J1083">
        <v>18.100000000000001</v>
      </c>
      <c r="L1083" t="s">
        <v>15</v>
      </c>
      <c r="M1083" t="b">
        <v>0</v>
      </c>
      <c r="O1083" s="1">
        <v>46200.338113425925</v>
      </c>
    </row>
    <row r="1084" spans="1:15" x14ac:dyDescent="0.25">
      <c r="A1084">
        <v>1429202003</v>
      </c>
      <c r="B1084" t="s">
        <v>761</v>
      </c>
      <c r="C1084" t="s">
        <v>342</v>
      </c>
      <c r="D1084" t="s">
        <v>221</v>
      </c>
      <c r="E1084" t="s">
        <v>336</v>
      </c>
      <c r="F1084">
        <v>50</v>
      </c>
      <c r="K1084" s="1">
        <v>46200.343449074076</v>
      </c>
      <c r="M1084" t="b">
        <v>0</v>
      </c>
      <c r="O1084" s="1">
        <v>46200.343449074076</v>
      </c>
    </row>
    <row r="1085" spans="1:15" x14ac:dyDescent="0.25">
      <c r="A1085">
        <v>-1236421480</v>
      </c>
      <c r="B1085" t="s">
        <v>761</v>
      </c>
      <c r="G1085">
        <v>41</v>
      </c>
      <c r="H1085" t="s">
        <v>29</v>
      </c>
      <c r="I1085">
        <v>800</v>
      </c>
      <c r="J1085">
        <v>804</v>
      </c>
      <c r="L1085" t="s">
        <v>12</v>
      </c>
      <c r="M1085" t="b">
        <v>0</v>
      </c>
      <c r="O1085" s="1">
        <v>46200.343449074076</v>
      </c>
    </row>
    <row r="1086" spans="1:15" x14ac:dyDescent="0.25">
      <c r="A1086">
        <v>166284985</v>
      </c>
      <c r="B1086" t="s">
        <v>761</v>
      </c>
      <c r="G1086">
        <v>35</v>
      </c>
      <c r="H1086" t="s">
        <v>36</v>
      </c>
      <c r="I1086">
        <v>100</v>
      </c>
      <c r="J1086">
        <v>100.7</v>
      </c>
      <c r="L1086" t="s">
        <v>12</v>
      </c>
      <c r="M1086" t="b">
        <v>0</v>
      </c>
      <c r="O1086" s="1">
        <v>46200.343449074076</v>
      </c>
    </row>
    <row r="1087" spans="1:15" x14ac:dyDescent="0.25">
      <c r="A1087">
        <v>1418044988</v>
      </c>
      <c r="B1087" t="s">
        <v>762</v>
      </c>
      <c r="C1087" t="s">
        <v>653</v>
      </c>
      <c r="D1087" t="s">
        <v>654</v>
      </c>
      <c r="E1087" t="s">
        <v>336</v>
      </c>
      <c r="F1087">
        <v>50</v>
      </c>
      <c r="K1087" s="1">
        <v>46200.458124999997</v>
      </c>
      <c r="M1087" t="b">
        <v>0</v>
      </c>
      <c r="O1087" s="1">
        <v>46200.458124999997</v>
      </c>
    </row>
    <row r="1088" spans="1:15" x14ac:dyDescent="0.25">
      <c r="A1088">
        <v>1373118605</v>
      </c>
      <c r="B1088" t="s">
        <v>762</v>
      </c>
      <c r="G1088">
        <v>41</v>
      </c>
      <c r="H1088" t="s">
        <v>29</v>
      </c>
      <c r="I1088">
        <v>725</v>
      </c>
      <c r="J1088">
        <v>725.6</v>
      </c>
      <c r="L1088" t="s">
        <v>12</v>
      </c>
      <c r="M1088" t="b">
        <v>0</v>
      </c>
      <c r="O1088" s="1">
        <v>46200.458124999997</v>
      </c>
    </row>
    <row r="1089" spans="1:15" x14ac:dyDescent="0.25">
      <c r="A1089">
        <v>-1300470070</v>
      </c>
      <c r="B1089" t="s">
        <v>763</v>
      </c>
      <c r="C1089" t="s">
        <v>345</v>
      </c>
      <c r="D1089" t="s">
        <v>537</v>
      </c>
      <c r="E1089" t="s">
        <v>313</v>
      </c>
      <c r="F1089">
        <v>250</v>
      </c>
      <c r="K1089" s="1">
        <v>46200.460717592592</v>
      </c>
      <c r="M1089" t="b">
        <v>0</v>
      </c>
      <c r="O1089" s="1">
        <v>46200.460717592592</v>
      </c>
    </row>
    <row r="1090" spans="1:15" x14ac:dyDescent="0.25">
      <c r="A1090">
        <v>1689750915</v>
      </c>
      <c r="B1090" t="s">
        <v>763</v>
      </c>
      <c r="G1090">
        <v>41</v>
      </c>
      <c r="H1090" t="s">
        <v>29</v>
      </c>
      <c r="I1090">
        <v>3675</v>
      </c>
      <c r="J1090">
        <v>3674.9</v>
      </c>
      <c r="L1090" t="s">
        <v>12</v>
      </c>
      <c r="M1090" t="b">
        <v>0</v>
      </c>
      <c r="O1090" s="1">
        <v>46200.460717592592</v>
      </c>
    </row>
    <row r="1091" spans="1:15" x14ac:dyDescent="0.25">
      <c r="A1091">
        <v>-1356361208</v>
      </c>
      <c r="B1091" t="s">
        <v>763</v>
      </c>
      <c r="G1091">
        <v>44</v>
      </c>
      <c r="H1091" t="s">
        <v>16</v>
      </c>
      <c r="I1091">
        <v>260</v>
      </c>
      <c r="J1091">
        <v>260.39999999999998</v>
      </c>
      <c r="L1091" t="s">
        <v>12</v>
      </c>
      <c r="M1091" t="b">
        <v>0</v>
      </c>
      <c r="O1091" s="1">
        <v>46200.460717592592</v>
      </c>
    </row>
    <row r="1092" spans="1:15" x14ac:dyDescent="0.25">
      <c r="A1092">
        <v>-1322787991</v>
      </c>
      <c r="B1092" t="s">
        <v>763</v>
      </c>
      <c r="G1092">
        <v>4</v>
      </c>
      <c r="H1092" t="s">
        <v>27</v>
      </c>
      <c r="I1092">
        <v>1200</v>
      </c>
      <c r="J1092">
        <v>1203.5</v>
      </c>
      <c r="L1092" t="s">
        <v>12</v>
      </c>
      <c r="M1092" t="b">
        <v>0</v>
      </c>
      <c r="O1092" s="1">
        <v>46200.460717592592</v>
      </c>
    </row>
    <row r="1093" spans="1:15" x14ac:dyDescent="0.25">
      <c r="A1093">
        <v>865887019</v>
      </c>
      <c r="B1093" t="s">
        <v>764</v>
      </c>
      <c r="C1093" t="s">
        <v>756</v>
      </c>
      <c r="D1093" t="s">
        <v>757</v>
      </c>
      <c r="E1093" t="s">
        <v>313</v>
      </c>
      <c r="F1093">
        <v>100</v>
      </c>
      <c r="K1093" s="1">
        <v>46200.490810185183</v>
      </c>
      <c r="M1093" t="b">
        <v>0</v>
      </c>
      <c r="O1093" s="1">
        <v>46200.490810185183</v>
      </c>
    </row>
    <row r="1094" spans="1:15" x14ac:dyDescent="0.25">
      <c r="A1094">
        <v>-950660976</v>
      </c>
      <c r="B1094" t="s">
        <v>764</v>
      </c>
      <c r="G1094">
        <v>41</v>
      </c>
      <c r="H1094" t="s">
        <v>29</v>
      </c>
      <c r="I1094">
        <v>900</v>
      </c>
      <c r="J1094">
        <v>900.8</v>
      </c>
      <c r="L1094" t="s">
        <v>12</v>
      </c>
      <c r="M1094" t="b">
        <v>0</v>
      </c>
      <c r="O1094" s="1">
        <v>46200.490810185183</v>
      </c>
    </row>
    <row r="1095" spans="1:15" x14ac:dyDescent="0.25">
      <c r="A1095">
        <v>-1325250223</v>
      </c>
      <c r="B1095" t="s">
        <v>764</v>
      </c>
      <c r="G1095">
        <v>35</v>
      </c>
      <c r="H1095" t="s">
        <v>36</v>
      </c>
      <c r="I1095">
        <v>120</v>
      </c>
      <c r="J1095">
        <v>120.7</v>
      </c>
      <c r="L1095" t="s">
        <v>12</v>
      </c>
      <c r="M1095" t="b">
        <v>0</v>
      </c>
      <c r="O1095" s="1">
        <v>46200.490810185183</v>
      </c>
    </row>
    <row r="1096" spans="1:15" x14ac:dyDescent="0.25">
      <c r="A1096">
        <v>-1434080962</v>
      </c>
      <c r="B1096" t="s">
        <v>764</v>
      </c>
      <c r="G1096">
        <v>44</v>
      </c>
      <c r="H1096" t="s">
        <v>16</v>
      </c>
      <c r="I1096">
        <v>90</v>
      </c>
      <c r="J1096">
        <v>90</v>
      </c>
      <c r="L1096" t="s">
        <v>12</v>
      </c>
      <c r="M1096" t="b">
        <v>0</v>
      </c>
      <c r="O1096" s="1">
        <v>46200.490810185183</v>
      </c>
    </row>
    <row r="1097" spans="1:15" x14ac:dyDescent="0.25">
      <c r="A1097">
        <v>-1458801689</v>
      </c>
      <c r="B1097" t="s">
        <v>765</v>
      </c>
      <c r="C1097" t="s">
        <v>712</v>
      </c>
      <c r="D1097" t="s">
        <v>603</v>
      </c>
      <c r="E1097" t="s">
        <v>340</v>
      </c>
      <c r="F1097">
        <v>300</v>
      </c>
      <c r="K1097" s="1">
        <v>46200.494004629632</v>
      </c>
      <c r="M1097" t="b">
        <v>0</v>
      </c>
      <c r="O1097" s="1">
        <v>46200.494004629632</v>
      </c>
    </row>
    <row r="1098" spans="1:15" x14ac:dyDescent="0.25">
      <c r="A1098">
        <v>-1642993252</v>
      </c>
      <c r="B1098" t="s">
        <v>765</v>
      </c>
      <c r="G1098">
        <v>41</v>
      </c>
      <c r="H1098" t="s">
        <v>29</v>
      </c>
      <c r="I1098">
        <v>5700</v>
      </c>
      <c r="J1098">
        <v>5704.3</v>
      </c>
      <c r="L1098" t="s">
        <v>12</v>
      </c>
      <c r="M1098" t="b">
        <v>0</v>
      </c>
      <c r="O1098" s="1">
        <v>46200.494004629632</v>
      </c>
    </row>
    <row r="1099" spans="1:15" x14ac:dyDescent="0.25">
      <c r="A1099">
        <v>1007171693</v>
      </c>
      <c r="B1099" t="s">
        <v>765</v>
      </c>
      <c r="G1099">
        <v>59</v>
      </c>
      <c r="H1099" t="s">
        <v>31</v>
      </c>
      <c r="I1099">
        <v>210</v>
      </c>
      <c r="J1099">
        <v>210</v>
      </c>
      <c r="L1099" t="s">
        <v>12</v>
      </c>
      <c r="M1099" t="b">
        <v>0</v>
      </c>
      <c r="O1099" s="1">
        <v>46200.494004629632</v>
      </c>
    </row>
    <row r="1100" spans="1:15" x14ac:dyDescent="0.25">
      <c r="A1100">
        <v>-1436296918</v>
      </c>
      <c r="B1100" t="s">
        <v>765</v>
      </c>
      <c r="G1100">
        <v>16</v>
      </c>
      <c r="H1100" t="s">
        <v>13</v>
      </c>
      <c r="I1100">
        <v>1794</v>
      </c>
      <c r="J1100">
        <v>1794.9</v>
      </c>
      <c r="L1100" t="s">
        <v>12</v>
      </c>
      <c r="M1100" t="b">
        <v>0</v>
      </c>
      <c r="O1100" s="1">
        <v>46200.494004629632</v>
      </c>
    </row>
    <row r="1101" spans="1:15" x14ac:dyDescent="0.25">
      <c r="A1101">
        <v>-1591154589</v>
      </c>
      <c r="B1101" t="s">
        <v>765</v>
      </c>
      <c r="G1101">
        <v>4</v>
      </c>
      <c r="H1101" t="s">
        <v>27</v>
      </c>
      <c r="I1101">
        <v>630</v>
      </c>
      <c r="L1101" t="s">
        <v>15</v>
      </c>
      <c r="M1101" t="b">
        <v>0</v>
      </c>
      <c r="O1101" s="1">
        <v>46200.494004629632</v>
      </c>
    </row>
    <row r="1102" spans="1:15" x14ac:dyDescent="0.25">
      <c r="A1102">
        <v>2126105448</v>
      </c>
      <c r="B1102" t="s">
        <v>766</v>
      </c>
      <c r="C1102" t="s">
        <v>712</v>
      </c>
      <c r="D1102" t="s">
        <v>603</v>
      </c>
      <c r="E1102" t="s">
        <v>340</v>
      </c>
      <c r="F1102">
        <v>300</v>
      </c>
      <c r="K1102" s="1">
        <v>46200.494814814818</v>
      </c>
      <c r="M1102" t="b">
        <v>0</v>
      </c>
      <c r="O1102" s="1">
        <v>46200.494814814818</v>
      </c>
    </row>
    <row r="1103" spans="1:15" x14ac:dyDescent="0.25">
      <c r="A1103">
        <v>90714441</v>
      </c>
      <c r="B1103" t="s">
        <v>766</v>
      </c>
      <c r="G1103">
        <v>41</v>
      </c>
      <c r="H1103" t="s">
        <v>29</v>
      </c>
      <c r="I1103">
        <v>5700</v>
      </c>
      <c r="J1103">
        <v>0.4</v>
      </c>
      <c r="L1103" t="s">
        <v>15</v>
      </c>
      <c r="M1103" t="b">
        <v>0</v>
      </c>
      <c r="O1103" s="1">
        <v>46200.494814814818</v>
      </c>
    </row>
    <row r="1104" spans="1:15" x14ac:dyDescent="0.25">
      <c r="A1104">
        <v>886587350</v>
      </c>
      <c r="B1104" t="s">
        <v>766</v>
      </c>
      <c r="G1104">
        <v>59</v>
      </c>
      <c r="H1104" t="s">
        <v>31</v>
      </c>
      <c r="I1104">
        <v>210</v>
      </c>
      <c r="J1104">
        <v>0.6</v>
      </c>
      <c r="L1104" t="s">
        <v>15</v>
      </c>
      <c r="M1104" t="b">
        <v>0</v>
      </c>
      <c r="O1104" s="1">
        <v>46200.494814814818</v>
      </c>
    </row>
    <row r="1105" spans="1:15" x14ac:dyDescent="0.25">
      <c r="A1105">
        <v>-623018849</v>
      </c>
      <c r="B1105" t="s">
        <v>766</v>
      </c>
      <c r="G1105">
        <v>16</v>
      </c>
      <c r="H1105" t="s">
        <v>13</v>
      </c>
      <c r="I1105">
        <v>1794</v>
      </c>
      <c r="J1105">
        <v>0</v>
      </c>
      <c r="L1105" t="s">
        <v>15</v>
      </c>
      <c r="M1105" t="b">
        <v>0</v>
      </c>
      <c r="O1105" s="1">
        <v>46200.494814814818</v>
      </c>
    </row>
    <row r="1106" spans="1:15" x14ac:dyDescent="0.25">
      <c r="A1106">
        <v>-1012547084</v>
      </c>
      <c r="B1106" t="s">
        <v>766</v>
      </c>
      <c r="G1106">
        <v>4</v>
      </c>
      <c r="H1106" t="s">
        <v>27</v>
      </c>
      <c r="I1106">
        <v>630</v>
      </c>
      <c r="J1106">
        <v>633.9</v>
      </c>
      <c r="L1106" t="s">
        <v>12</v>
      </c>
      <c r="M1106" t="b">
        <v>0</v>
      </c>
      <c r="O1106" s="1">
        <v>46200.494814814818</v>
      </c>
    </row>
    <row r="1107" spans="1:15" x14ac:dyDescent="0.25">
      <c r="A1107">
        <v>1098412097</v>
      </c>
      <c r="B1107" t="s">
        <v>767</v>
      </c>
      <c r="C1107" t="s">
        <v>756</v>
      </c>
      <c r="D1107" t="s">
        <v>757</v>
      </c>
      <c r="E1107" t="s">
        <v>340</v>
      </c>
      <c r="F1107">
        <v>100</v>
      </c>
      <c r="K1107" s="1">
        <v>46200.541354166664</v>
      </c>
      <c r="M1107" t="b">
        <v>0</v>
      </c>
      <c r="O1107" s="1">
        <v>46200.541354166664</v>
      </c>
    </row>
    <row r="1108" spans="1:15" x14ac:dyDescent="0.25">
      <c r="A1108">
        <v>1111892334</v>
      </c>
      <c r="B1108" t="s">
        <v>767</v>
      </c>
      <c r="G1108">
        <v>41</v>
      </c>
      <c r="H1108" t="s">
        <v>29</v>
      </c>
      <c r="I1108">
        <v>900</v>
      </c>
      <c r="J1108">
        <v>906.6</v>
      </c>
      <c r="L1108" t="s">
        <v>12</v>
      </c>
      <c r="M1108" t="b">
        <v>0</v>
      </c>
      <c r="O1108" s="1">
        <v>46200.541354166664</v>
      </c>
    </row>
    <row r="1109" spans="1:15" x14ac:dyDescent="0.25">
      <c r="A1109">
        <v>1574745175</v>
      </c>
      <c r="B1109" t="s">
        <v>767</v>
      </c>
      <c r="G1109">
        <v>35</v>
      </c>
      <c r="H1109" t="s">
        <v>36</v>
      </c>
      <c r="I1109">
        <v>120</v>
      </c>
      <c r="J1109">
        <v>120.7</v>
      </c>
      <c r="L1109" t="s">
        <v>12</v>
      </c>
      <c r="M1109" t="b">
        <v>0</v>
      </c>
      <c r="O1109" s="1">
        <v>46200.541354166664</v>
      </c>
    </row>
    <row r="1110" spans="1:15" x14ac:dyDescent="0.25">
      <c r="A1110">
        <v>1821498700</v>
      </c>
      <c r="B1110" t="s">
        <v>767</v>
      </c>
      <c r="G1110">
        <v>44</v>
      </c>
      <c r="H1110" t="s">
        <v>16</v>
      </c>
      <c r="I1110">
        <v>90</v>
      </c>
      <c r="J1110">
        <v>90.3</v>
      </c>
      <c r="L1110" t="s">
        <v>12</v>
      </c>
      <c r="M1110" t="b">
        <v>0</v>
      </c>
      <c r="O1110" s="1">
        <v>46200.541354166664</v>
      </c>
    </row>
    <row r="1111" spans="1:15" x14ac:dyDescent="0.25">
      <c r="A1111">
        <v>-109695395</v>
      </c>
      <c r="B1111" t="s">
        <v>768</v>
      </c>
      <c r="C1111" t="s">
        <v>388</v>
      </c>
      <c r="D1111" t="s">
        <v>389</v>
      </c>
      <c r="E1111" t="s">
        <v>336</v>
      </c>
      <c r="F1111">
        <v>50</v>
      </c>
      <c r="K1111" s="1">
        <v>46200.54414351852</v>
      </c>
      <c r="M1111" t="b">
        <v>0</v>
      </c>
      <c r="O1111" s="1">
        <v>46200.54414351852</v>
      </c>
    </row>
    <row r="1112" spans="1:15" x14ac:dyDescent="0.25">
      <c r="A1112">
        <v>-1917995942</v>
      </c>
      <c r="B1112" t="s">
        <v>768</v>
      </c>
      <c r="G1112">
        <v>41</v>
      </c>
      <c r="H1112" t="s">
        <v>29</v>
      </c>
      <c r="I1112">
        <v>505</v>
      </c>
      <c r="J1112">
        <v>506.2</v>
      </c>
      <c r="L1112" t="s">
        <v>12</v>
      </c>
      <c r="M1112" t="b">
        <v>0</v>
      </c>
      <c r="O1112" s="1">
        <v>46200.54414351852</v>
      </c>
    </row>
    <row r="1113" spans="1:15" x14ac:dyDescent="0.25">
      <c r="A1113">
        <v>-871264301</v>
      </c>
      <c r="B1113" t="s">
        <v>768</v>
      </c>
      <c r="G1113">
        <v>35</v>
      </c>
      <c r="H1113" t="s">
        <v>36</v>
      </c>
      <c r="I1113">
        <v>31.5</v>
      </c>
      <c r="J1113">
        <v>31.4</v>
      </c>
      <c r="L1113" t="s">
        <v>12</v>
      </c>
      <c r="M1113" t="b">
        <v>0</v>
      </c>
      <c r="O1113" s="1">
        <v>46200.54414351852</v>
      </c>
    </row>
    <row r="1114" spans="1:15" x14ac:dyDescent="0.25">
      <c r="A1114">
        <v>-1139942888</v>
      </c>
      <c r="B1114" t="s">
        <v>768</v>
      </c>
      <c r="G1114">
        <v>44</v>
      </c>
      <c r="H1114" t="s">
        <v>16</v>
      </c>
      <c r="I1114">
        <v>16</v>
      </c>
      <c r="J1114">
        <v>17.399999999999999</v>
      </c>
      <c r="L1114" t="s">
        <v>15</v>
      </c>
      <c r="M1114" t="b">
        <v>0</v>
      </c>
      <c r="O1114" s="1">
        <v>46200.54414351852</v>
      </c>
    </row>
    <row r="1115" spans="1:15" x14ac:dyDescent="0.25">
      <c r="A1115">
        <v>-1906252231</v>
      </c>
      <c r="B1115" t="s">
        <v>769</v>
      </c>
      <c r="C1115" t="s">
        <v>653</v>
      </c>
      <c r="D1115" t="s">
        <v>654</v>
      </c>
      <c r="E1115" t="s">
        <v>336</v>
      </c>
      <c r="F1115">
        <v>50</v>
      </c>
      <c r="K1115" s="1">
        <v>46200.544791666667</v>
      </c>
      <c r="M1115" t="b">
        <v>0</v>
      </c>
      <c r="O1115" s="1">
        <v>46200.544791666667</v>
      </c>
    </row>
    <row r="1116" spans="1:15" x14ac:dyDescent="0.25">
      <c r="A1116">
        <v>1193258502</v>
      </c>
      <c r="B1116" t="s">
        <v>769</v>
      </c>
      <c r="G1116">
        <v>41</v>
      </c>
      <c r="H1116" t="s">
        <v>29</v>
      </c>
      <c r="I1116">
        <v>830</v>
      </c>
      <c r="J1116">
        <v>831.5</v>
      </c>
      <c r="L1116" t="s">
        <v>12</v>
      </c>
      <c r="M1116" t="b">
        <v>0</v>
      </c>
      <c r="O1116" s="1">
        <v>46200.544791666667</v>
      </c>
    </row>
    <row r="1117" spans="1:15" x14ac:dyDescent="0.25">
      <c r="A1117">
        <v>1695511051</v>
      </c>
      <c r="B1117" t="s">
        <v>770</v>
      </c>
      <c r="C1117" t="s">
        <v>382</v>
      </c>
      <c r="D1117" t="s">
        <v>771</v>
      </c>
      <c r="E1117" t="s">
        <v>364</v>
      </c>
      <c r="F1117">
        <v>50</v>
      </c>
      <c r="K1117" s="1">
        <v>46200.554016203707</v>
      </c>
      <c r="M1117" t="b">
        <v>0</v>
      </c>
      <c r="O1117" s="1">
        <v>46200.554016203707</v>
      </c>
    </row>
    <row r="1118" spans="1:15" x14ac:dyDescent="0.25">
      <c r="A1118">
        <v>804056560</v>
      </c>
      <c r="B1118" t="s">
        <v>770</v>
      </c>
      <c r="G1118">
        <v>41</v>
      </c>
      <c r="H1118" t="s">
        <v>29</v>
      </c>
      <c r="I1118">
        <v>725</v>
      </c>
      <c r="J1118">
        <v>730.5</v>
      </c>
      <c r="L1118" t="s">
        <v>12</v>
      </c>
      <c r="M1118" t="b">
        <v>0</v>
      </c>
      <c r="O1118" s="1">
        <v>46200.554016203707</v>
      </c>
    </row>
    <row r="1119" spans="1:15" x14ac:dyDescent="0.25">
      <c r="A1119">
        <v>376140593</v>
      </c>
      <c r="B1119" t="s">
        <v>770</v>
      </c>
      <c r="G1119">
        <v>35</v>
      </c>
      <c r="H1119" t="s">
        <v>36</v>
      </c>
      <c r="I1119">
        <v>41.2</v>
      </c>
      <c r="J1119">
        <v>40.299999999999997</v>
      </c>
      <c r="L1119" t="s">
        <v>15</v>
      </c>
      <c r="M1119" t="b">
        <v>0</v>
      </c>
      <c r="O1119" s="1">
        <v>46200.554016203707</v>
      </c>
    </row>
    <row r="1120" spans="1:15" x14ac:dyDescent="0.25">
      <c r="A1120">
        <v>295781790</v>
      </c>
      <c r="B1120" t="s">
        <v>770</v>
      </c>
      <c r="G1120">
        <v>4</v>
      </c>
      <c r="H1120" t="s">
        <v>27</v>
      </c>
      <c r="I1120">
        <v>30</v>
      </c>
      <c r="J1120">
        <v>30.3</v>
      </c>
      <c r="L1120" t="s">
        <v>12</v>
      </c>
      <c r="M1120" t="b">
        <v>0</v>
      </c>
      <c r="O1120" s="1">
        <v>46200.554016203707</v>
      </c>
    </row>
    <row r="1121" spans="1:15" x14ac:dyDescent="0.25">
      <c r="A1121">
        <v>-815451961</v>
      </c>
      <c r="B1121" t="s">
        <v>772</v>
      </c>
      <c r="C1121" t="s">
        <v>773</v>
      </c>
      <c r="D1121" t="s">
        <v>380</v>
      </c>
      <c r="E1121" t="s">
        <v>313</v>
      </c>
      <c r="F1121">
        <v>50</v>
      </c>
      <c r="K1121" s="1">
        <v>46200.556435185186</v>
      </c>
      <c r="M1121" t="b">
        <v>0</v>
      </c>
      <c r="O1121" s="1">
        <v>46200.556435185186</v>
      </c>
    </row>
    <row r="1122" spans="1:15" x14ac:dyDescent="0.25">
      <c r="A1122">
        <v>-312713988</v>
      </c>
      <c r="B1122" t="s">
        <v>772</v>
      </c>
      <c r="G1122">
        <v>41</v>
      </c>
      <c r="H1122" t="s">
        <v>29</v>
      </c>
      <c r="I1122">
        <v>650</v>
      </c>
      <c r="J1122">
        <v>656.7</v>
      </c>
      <c r="L1122" t="s">
        <v>15</v>
      </c>
      <c r="M1122" t="b">
        <v>0</v>
      </c>
      <c r="O1122" s="1">
        <v>46200.556435185186</v>
      </c>
    </row>
    <row r="1123" spans="1:15" x14ac:dyDescent="0.25">
      <c r="A1123">
        <v>130465869</v>
      </c>
      <c r="B1123" t="s">
        <v>772</v>
      </c>
      <c r="G1123">
        <v>11</v>
      </c>
      <c r="H1123" t="s">
        <v>33</v>
      </c>
      <c r="I1123">
        <v>5.85</v>
      </c>
      <c r="J1123">
        <v>5.9</v>
      </c>
      <c r="L1123" t="s">
        <v>12</v>
      </c>
      <c r="M1123" t="b">
        <v>0</v>
      </c>
      <c r="O1123" s="1">
        <v>46200.556435185186</v>
      </c>
    </row>
    <row r="1124" spans="1:15" x14ac:dyDescent="0.25">
      <c r="A1124">
        <v>1089797002</v>
      </c>
      <c r="B1124" t="s">
        <v>774</v>
      </c>
      <c r="C1124" t="s">
        <v>712</v>
      </c>
      <c r="D1124" t="s">
        <v>410</v>
      </c>
      <c r="E1124" t="s">
        <v>313</v>
      </c>
      <c r="F1124">
        <v>450</v>
      </c>
      <c r="K1124" s="1">
        <v>46200.563530092593</v>
      </c>
      <c r="M1124" t="b">
        <v>0</v>
      </c>
      <c r="O1124" s="1">
        <v>46200.563530092593</v>
      </c>
    </row>
    <row r="1125" spans="1:15" x14ac:dyDescent="0.25">
      <c r="A1125">
        <v>898511683</v>
      </c>
      <c r="B1125" t="s">
        <v>774</v>
      </c>
      <c r="G1125">
        <v>41</v>
      </c>
      <c r="H1125" t="s">
        <v>29</v>
      </c>
      <c r="I1125">
        <v>6300</v>
      </c>
      <c r="J1125">
        <v>6343.6</v>
      </c>
      <c r="L1125" t="s">
        <v>12</v>
      </c>
      <c r="M1125" t="b">
        <v>0</v>
      </c>
      <c r="O1125" s="1">
        <v>46200.563530092593</v>
      </c>
    </row>
    <row r="1126" spans="1:15" x14ac:dyDescent="0.25">
      <c r="A1126">
        <v>-305318712</v>
      </c>
      <c r="B1126" t="s">
        <v>774</v>
      </c>
      <c r="G1126">
        <v>44</v>
      </c>
      <c r="H1126" t="s">
        <v>16</v>
      </c>
      <c r="I1126">
        <v>144</v>
      </c>
      <c r="J1126">
        <v>145.19999999999999</v>
      </c>
      <c r="L1126" t="s">
        <v>12</v>
      </c>
      <c r="M1126" t="b">
        <v>0</v>
      </c>
      <c r="O1126" s="1">
        <v>46200.563530092593</v>
      </c>
    </row>
    <row r="1127" spans="1:15" x14ac:dyDescent="0.25">
      <c r="A1127">
        <v>1954412329</v>
      </c>
      <c r="B1127" t="s">
        <v>774</v>
      </c>
      <c r="G1127">
        <v>4</v>
      </c>
      <c r="H1127" t="s">
        <v>27</v>
      </c>
      <c r="I1127">
        <v>1350</v>
      </c>
      <c r="J1127">
        <v>1351.3</v>
      </c>
      <c r="L1127" t="s">
        <v>12</v>
      </c>
      <c r="M1127" t="b">
        <v>0</v>
      </c>
      <c r="O1127" s="1">
        <v>46200.563530092593</v>
      </c>
    </row>
    <row r="1128" spans="1:15" x14ac:dyDescent="0.25">
      <c r="A1128">
        <v>-370552907</v>
      </c>
      <c r="B1128" t="s">
        <v>775</v>
      </c>
      <c r="C1128" t="s">
        <v>756</v>
      </c>
      <c r="D1128" t="s">
        <v>757</v>
      </c>
      <c r="E1128" t="s">
        <v>340</v>
      </c>
      <c r="F1128">
        <v>100</v>
      </c>
      <c r="K1128" s="1">
        <v>46200.587199074071</v>
      </c>
      <c r="M1128" t="b">
        <v>0</v>
      </c>
      <c r="O1128" s="1">
        <v>46200.587199074071</v>
      </c>
    </row>
    <row r="1129" spans="1:15" x14ac:dyDescent="0.25">
      <c r="A1129">
        <v>1391861970</v>
      </c>
      <c r="B1129" t="s">
        <v>775</v>
      </c>
      <c r="G1129">
        <v>41</v>
      </c>
      <c r="H1129" t="s">
        <v>29</v>
      </c>
      <c r="I1129">
        <v>1300</v>
      </c>
      <c r="J1129">
        <v>1297.5999999999999</v>
      </c>
      <c r="L1129" t="s">
        <v>12</v>
      </c>
      <c r="M1129" t="b">
        <v>0</v>
      </c>
      <c r="O1129" s="1">
        <v>46200.587199074071</v>
      </c>
    </row>
    <row r="1130" spans="1:15" x14ac:dyDescent="0.25">
      <c r="A1130">
        <v>1363177707</v>
      </c>
      <c r="B1130" t="s">
        <v>775</v>
      </c>
      <c r="G1130">
        <v>35</v>
      </c>
      <c r="H1130" t="s">
        <v>36</v>
      </c>
      <c r="I1130">
        <v>180</v>
      </c>
      <c r="J1130">
        <v>181.2</v>
      </c>
      <c r="L1130" t="s">
        <v>12</v>
      </c>
      <c r="M1130" t="b">
        <v>0</v>
      </c>
      <c r="O1130" s="1">
        <v>46200.587199074071</v>
      </c>
    </row>
    <row r="1131" spans="1:15" x14ac:dyDescent="0.25">
      <c r="A1131">
        <v>294058832</v>
      </c>
      <c r="B1131" t="s">
        <v>775</v>
      </c>
      <c r="G1131">
        <v>44</v>
      </c>
      <c r="H1131" t="s">
        <v>16</v>
      </c>
      <c r="I1131">
        <v>90</v>
      </c>
      <c r="J1131">
        <v>90.9</v>
      </c>
      <c r="L1131" t="s">
        <v>12</v>
      </c>
      <c r="M1131" t="b">
        <v>0</v>
      </c>
      <c r="O1131" s="1">
        <v>46200.587199074071</v>
      </c>
    </row>
    <row r="1132" spans="1:15" x14ac:dyDescent="0.25">
      <c r="A1132">
        <v>-1764996340</v>
      </c>
      <c r="B1132" t="s">
        <v>776</v>
      </c>
      <c r="C1132" t="s">
        <v>392</v>
      </c>
      <c r="D1132" t="s">
        <v>777</v>
      </c>
      <c r="E1132" t="s">
        <v>336</v>
      </c>
      <c r="F1132">
        <v>250</v>
      </c>
      <c r="K1132" s="1">
        <v>46190.698981481481</v>
      </c>
      <c r="M1132" t="b">
        <v>0</v>
      </c>
      <c r="O1132" s="1">
        <v>46190.698981481481</v>
      </c>
    </row>
    <row r="1133" spans="1:15" x14ac:dyDescent="0.25">
      <c r="A1133">
        <v>-1806304995</v>
      </c>
      <c r="B1133" t="s">
        <v>776</v>
      </c>
      <c r="G1133">
        <v>41</v>
      </c>
      <c r="H1133" t="s">
        <v>29</v>
      </c>
      <c r="I1133">
        <v>1252.5</v>
      </c>
      <c r="J1133">
        <v>4570.8</v>
      </c>
      <c r="L1133" t="s">
        <v>15</v>
      </c>
      <c r="M1133" t="b">
        <v>0</v>
      </c>
      <c r="O1133" s="1">
        <v>46190.698981481481</v>
      </c>
    </row>
    <row r="1134" spans="1:15" x14ac:dyDescent="0.25">
      <c r="A1134">
        <v>-953362406</v>
      </c>
      <c r="B1134" t="s">
        <v>776</v>
      </c>
      <c r="G1134">
        <v>59</v>
      </c>
      <c r="H1134" t="s">
        <v>31</v>
      </c>
      <c r="I1134">
        <v>135</v>
      </c>
      <c r="L1134" t="s">
        <v>15</v>
      </c>
      <c r="M1134" t="b">
        <v>0</v>
      </c>
      <c r="O1134" s="1">
        <v>46190.698981481481</v>
      </c>
    </row>
    <row r="1135" spans="1:15" x14ac:dyDescent="0.25">
      <c r="A1135">
        <v>1367955603</v>
      </c>
      <c r="B1135" t="s">
        <v>776</v>
      </c>
      <c r="G1135">
        <v>16</v>
      </c>
      <c r="H1135" t="s">
        <v>13</v>
      </c>
      <c r="I1135">
        <v>827.75</v>
      </c>
      <c r="L1135" t="s">
        <v>15</v>
      </c>
      <c r="M1135" t="b">
        <v>0</v>
      </c>
      <c r="O1135" s="1">
        <v>46190.698981481481</v>
      </c>
    </row>
    <row r="1136" spans="1:15" x14ac:dyDescent="0.25">
      <c r="A1136">
        <v>1081648088</v>
      </c>
      <c r="B1136" t="s">
        <v>776</v>
      </c>
      <c r="G1136">
        <v>40</v>
      </c>
      <c r="H1136" t="s">
        <v>127</v>
      </c>
      <c r="I1136">
        <v>575</v>
      </c>
      <c r="L1136" t="s">
        <v>15</v>
      </c>
      <c r="M1136" t="b">
        <v>0</v>
      </c>
      <c r="O1136" s="1">
        <v>46190.698981481481</v>
      </c>
    </row>
    <row r="1137" spans="1:15" x14ac:dyDescent="0.25">
      <c r="A1137">
        <v>1986583801</v>
      </c>
      <c r="B1137" t="s">
        <v>776</v>
      </c>
      <c r="G1137">
        <v>35</v>
      </c>
      <c r="H1137" t="s">
        <v>36</v>
      </c>
      <c r="I1137">
        <v>332.5</v>
      </c>
      <c r="L1137" t="s">
        <v>15</v>
      </c>
      <c r="M1137" t="b">
        <v>0</v>
      </c>
      <c r="O1137" s="1">
        <v>46190.698981481481</v>
      </c>
    </row>
    <row r="1138" spans="1:15" x14ac:dyDescent="0.25">
      <c r="A1138">
        <v>674663878</v>
      </c>
      <c r="B1138" t="s">
        <v>778</v>
      </c>
      <c r="C1138" t="s">
        <v>392</v>
      </c>
      <c r="D1138" t="s">
        <v>777</v>
      </c>
      <c r="E1138" t="s">
        <v>336</v>
      </c>
      <c r="F1138">
        <v>250</v>
      </c>
      <c r="K1138" s="1">
        <v>46190.700231481482</v>
      </c>
      <c r="M1138" t="b">
        <v>0</v>
      </c>
      <c r="O1138" s="1">
        <v>46190.700231481482</v>
      </c>
    </row>
    <row r="1139" spans="1:15" x14ac:dyDescent="0.25">
      <c r="A1139">
        <v>678875087</v>
      </c>
      <c r="B1139" t="s">
        <v>778</v>
      </c>
      <c r="G1139">
        <v>41</v>
      </c>
      <c r="H1139" t="s">
        <v>29</v>
      </c>
      <c r="I1139">
        <v>1252.5</v>
      </c>
      <c r="J1139">
        <v>1256.7</v>
      </c>
      <c r="L1139" t="s">
        <v>12</v>
      </c>
      <c r="M1139" t="b">
        <v>0</v>
      </c>
      <c r="O1139" s="1">
        <v>46190.700231481482</v>
      </c>
    </row>
    <row r="1140" spans="1:15" x14ac:dyDescent="0.25">
      <c r="A1140">
        <v>72778084</v>
      </c>
      <c r="B1140" t="s">
        <v>778</v>
      </c>
      <c r="G1140">
        <v>59</v>
      </c>
      <c r="H1140" t="s">
        <v>31</v>
      </c>
      <c r="I1140">
        <v>135</v>
      </c>
      <c r="J1140">
        <v>135.19999999999999</v>
      </c>
      <c r="L1140" t="s">
        <v>12</v>
      </c>
      <c r="M1140" t="b">
        <v>0</v>
      </c>
      <c r="O1140" s="1">
        <v>46190.700231481482</v>
      </c>
    </row>
    <row r="1141" spans="1:15" x14ac:dyDescent="0.25">
      <c r="A1141">
        <v>-529230187</v>
      </c>
      <c r="B1141" t="s">
        <v>778</v>
      </c>
      <c r="G1141">
        <v>16</v>
      </c>
      <c r="H1141" t="s">
        <v>13</v>
      </c>
      <c r="I1141">
        <v>827.75</v>
      </c>
      <c r="L1141" t="s">
        <v>15</v>
      </c>
      <c r="M1141" t="b">
        <v>0</v>
      </c>
      <c r="O1141" s="1">
        <v>46190.700231481482</v>
      </c>
    </row>
    <row r="1142" spans="1:15" x14ac:dyDescent="0.25">
      <c r="A1142">
        <v>-1341630926</v>
      </c>
      <c r="B1142" t="s">
        <v>778</v>
      </c>
      <c r="G1142">
        <v>40</v>
      </c>
      <c r="H1142" t="s">
        <v>127</v>
      </c>
      <c r="I1142">
        <v>575</v>
      </c>
      <c r="L1142" t="s">
        <v>15</v>
      </c>
      <c r="M1142" t="b">
        <v>0</v>
      </c>
      <c r="O1142" s="1">
        <v>46190.700231481482</v>
      </c>
    </row>
    <row r="1143" spans="1:15" x14ac:dyDescent="0.25">
      <c r="A1143">
        <v>-2123885877</v>
      </c>
      <c r="B1143" t="s">
        <v>778</v>
      </c>
      <c r="G1143">
        <v>35</v>
      </c>
      <c r="H1143" t="s">
        <v>36</v>
      </c>
      <c r="I1143">
        <v>332.5</v>
      </c>
      <c r="L1143" t="s">
        <v>15</v>
      </c>
      <c r="M1143" t="b">
        <v>0</v>
      </c>
      <c r="O1143" s="1">
        <v>46190.700231481482</v>
      </c>
    </row>
    <row r="1144" spans="1:15" x14ac:dyDescent="0.25">
      <c r="A1144">
        <v>74256299</v>
      </c>
      <c r="B1144" t="s">
        <v>779</v>
      </c>
      <c r="C1144" t="s">
        <v>516</v>
      </c>
      <c r="D1144" t="s">
        <v>380</v>
      </c>
      <c r="E1144" t="s">
        <v>336</v>
      </c>
      <c r="F1144">
        <v>50</v>
      </c>
      <c r="K1144" s="1">
        <v>46200.849722222221</v>
      </c>
      <c r="M1144" t="b">
        <v>0</v>
      </c>
      <c r="O1144" s="1">
        <v>46200.849722222221</v>
      </c>
    </row>
    <row r="1145" spans="1:15" x14ac:dyDescent="0.25">
      <c r="A1145">
        <v>-1761647856</v>
      </c>
      <c r="B1145" t="s">
        <v>779</v>
      </c>
      <c r="G1145">
        <v>41</v>
      </c>
      <c r="H1145" t="s">
        <v>29</v>
      </c>
      <c r="I1145">
        <v>325</v>
      </c>
      <c r="J1145">
        <v>322.54000000000002</v>
      </c>
      <c r="L1145" t="s">
        <v>12</v>
      </c>
      <c r="M1145" t="b">
        <v>0</v>
      </c>
      <c r="O1145" s="1">
        <v>46200.849722222221</v>
      </c>
    </row>
    <row r="1146" spans="1:15" x14ac:dyDescent="0.25">
      <c r="A1146">
        <v>1910819281</v>
      </c>
      <c r="B1146" t="s">
        <v>779</v>
      </c>
      <c r="G1146">
        <v>35</v>
      </c>
      <c r="H1146" t="s">
        <v>36</v>
      </c>
      <c r="I1146">
        <v>9</v>
      </c>
      <c r="J1146">
        <v>9.02</v>
      </c>
      <c r="L1146" t="s">
        <v>12</v>
      </c>
      <c r="M1146" t="b">
        <v>0</v>
      </c>
      <c r="O1146" s="1">
        <v>46200.849722222221</v>
      </c>
    </row>
    <row r="1147" spans="1:15" x14ac:dyDescent="0.25">
      <c r="A1147">
        <v>-1312211010</v>
      </c>
      <c r="B1147" t="s">
        <v>779</v>
      </c>
      <c r="G1147">
        <v>16</v>
      </c>
      <c r="H1147" t="s">
        <v>13</v>
      </c>
      <c r="I1147">
        <v>15</v>
      </c>
      <c r="J1147">
        <v>15.13</v>
      </c>
      <c r="L1147" t="s">
        <v>12</v>
      </c>
      <c r="M1147" t="b">
        <v>0</v>
      </c>
      <c r="O1147" s="1">
        <v>46200.849722222221</v>
      </c>
    </row>
    <row r="1148" spans="1:15" x14ac:dyDescent="0.25">
      <c r="A1148">
        <v>-1669039845</v>
      </c>
      <c r="B1148" t="s">
        <v>780</v>
      </c>
      <c r="C1148" t="s">
        <v>382</v>
      </c>
      <c r="D1148" t="s">
        <v>771</v>
      </c>
      <c r="E1148" t="s">
        <v>364</v>
      </c>
      <c r="F1148">
        <v>50</v>
      </c>
      <c r="K1148" s="1">
        <v>46200.888414351852</v>
      </c>
      <c r="M1148" t="b">
        <v>0</v>
      </c>
      <c r="O1148" s="1">
        <v>46200.888414351852</v>
      </c>
    </row>
    <row r="1149" spans="1:15" x14ac:dyDescent="0.25">
      <c r="A1149">
        <v>-2015917120</v>
      </c>
      <c r="B1149" t="s">
        <v>780</v>
      </c>
      <c r="G1149">
        <v>41</v>
      </c>
      <c r="H1149" t="s">
        <v>29</v>
      </c>
      <c r="I1149">
        <v>725</v>
      </c>
      <c r="J1149">
        <v>0</v>
      </c>
      <c r="L1149" t="s">
        <v>15</v>
      </c>
      <c r="M1149" t="b">
        <v>0</v>
      </c>
      <c r="O1149" s="1">
        <v>46200.888414351852</v>
      </c>
    </row>
    <row r="1150" spans="1:15" x14ac:dyDescent="0.25">
      <c r="A1150">
        <v>-1200484159</v>
      </c>
      <c r="B1150" t="s">
        <v>780</v>
      </c>
      <c r="G1150">
        <v>35</v>
      </c>
      <c r="H1150" t="s">
        <v>36</v>
      </c>
      <c r="I1150">
        <v>41.2</v>
      </c>
      <c r="J1150">
        <v>41.24</v>
      </c>
      <c r="L1150" t="s">
        <v>12</v>
      </c>
      <c r="M1150" t="b">
        <v>0</v>
      </c>
      <c r="O1150" s="1">
        <v>46200.888414351852</v>
      </c>
    </row>
    <row r="1151" spans="1:15" x14ac:dyDescent="0.25">
      <c r="A1151">
        <v>307910638</v>
      </c>
      <c r="B1151" t="s">
        <v>780</v>
      </c>
      <c r="G1151">
        <v>4</v>
      </c>
      <c r="H1151" t="s">
        <v>27</v>
      </c>
      <c r="I1151">
        <v>30</v>
      </c>
      <c r="L1151" t="s">
        <v>15</v>
      </c>
      <c r="M1151" t="b">
        <v>0</v>
      </c>
      <c r="O1151" s="1">
        <v>46200.888414351852</v>
      </c>
    </row>
    <row r="1152" spans="1:15" x14ac:dyDescent="0.25">
      <c r="A1152">
        <v>-1944453547</v>
      </c>
      <c r="B1152" t="s">
        <v>781</v>
      </c>
      <c r="C1152" t="s">
        <v>477</v>
      </c>
      <c r="D1152" t="s">
        <v>567</v>
      </c>
      <c r="E1152" t="s">
        <v>336</v>
      </c>
      <c r="F1152">
        <v>250</v>
      </c>
      <c r="K1152" s="1">
        <v>46190.999259259261</v>
      </c>
      <c r="M1152" t="b">
        <v>0</v>
      </c>
      <c r="O1152" s="1">
        <v>46190.999259259261</v>
      </c>
    </row>
    <row r="1153" spans="1:15" x14ac:dyDescent="0.25">
      <c r="A1153">
        <v>-1487793422</v>
      </c>
      <c r="B1153" t="s">
        <v>781</v>
      </c>
      <c r="G1153">
        <v>41</v>
      </c>
      <c r="H1153" t="s">
        <v>29</v>
      </c>
      <c r="I1153">
        <v>5495</v>
      </c>
      <c r="J1153">
        <v>5496.1</v>
      </c>
      <c r="L1153" t="s">
        <v>12</v>
      </c>
      <c r="M1153" t="b">
        <v>0</v>
      </c>
      <c r="O1153" s="1">
        <v>46190.999259259261</v>
      </c>
    </row>
    <row r="1154" spans="1:15" x14ac:dyDescent="0.25">
      <c r="A1154">
        <v>-1460486005</v>
      </c>
      <c r="B1154" t="s">
        <v>781</v>
      </c>
      <c r="G1154">
        <v>35</v>
      </c>
      <c r="H1154" t="s">
        <v>36</v>
      </c>
      <c r="I1154">
        <v>845</v>
      </c>
      <c r="J1154">
        <v>852.7</v>
      </c>
      <c r="L1154" t="s">
        <v>12</v>
      </c>
      <c r="M1154" t="b">
        <v>0</v>
      </c>
      <c r="O1154" s="1">
        <v>46190.999259259261</v>
      </c>
    </row>
    <row r="1155" spans="1:15" x14ac:dyDescent="0.25">
      <c r="A1155">
        <v>2003352176</v>
      </c>
      <c r="B1155" t="s">
        <v>781</v>
      </c>
      <c r="G1155">
        <v>44</v>
      </c>
      <c r="H1155" t="s">
        <v>16</v>
      </c>
      <c r="I1155">
        <v>122</v>
      </c>
      <c r="J1155">
        <v>121.6</v>
      </c>
      <c r="L1155" t="s">
        <v>12</v>
      </c>
      <c r="M1155" t="b">
        <v>0</v>
      </c>
      <c r="O1155" s="1">
        <v>46190.999259259261</v>
      </c>
    </row>
    <row r="1156" spans="1:15" x14ac:dyDescent="0.25">
      <c r="A1156">
        <v>-236706348</v>
      </c>
      <c r="B1156" t="s">
        <v>782</v>
      </c>
      <c r="C1156" t="s">
        <v>783</v>
      </c>
      <c r="D1156" t="s">
        <v>784</v>
      </c>
      <c r="E1156" t="s">
        <v>364</v>
      </c>
      <c r="F1156">
        <v>280</v>
      </c>
      <c r="K1156" s="1">
        <v>46191.124675925923</v>
      </c>
      <c r="M1156" t="b">
        <v>0</v>
      </c>
      <c r="O1156" s="1">
        <v>46191.124675925923</v>
      </c>
    </row>
    <row r="1157" spans="1:15" x14ac:dyDescent="0.25">
      <c r="A1157">
        <v>-803791291</v>
      </c>
      <c r="B1157" t="s">
        <v>782</v>
      </c>
      <c r="G1157">
        <v>41</v>
      </c>
      <c r="H1157" t="s">
        <v>29</v>
      </c>
      <c r="I1157">
        <v>4900</v>
      </c>
      <c r="J1157">
        <v>4919.1000000000004</v>
      </c>
      <c r="L1157" t="s">
        <v>12</v>
      </c>
      <c r="M1157" t="b">
        <v>0</v>
      </c>
      <c r="O1157" s="1">
        <v>46191.124675925923</v>
      </c>
    </row>
    <row r="1158" spans="1:15" x14ac:dyDescent="0.25">
      <c r="A1158">
        <v>1367494690</v>
      </c>
      <c r="B1158" t="s">
        <v>782</v>
      </c>
      <c r="G1158">
        <v>35</v>
      </c>
      <c r="H1158" t="s">
        <v>36</v>
      </c>
      <c r="I1158">
        <v>140</v>
      </c>
      <c r="J1158">
        <v>140.30000000000001</v>
      </c>
      <c r="L1158" t="s">
        <v>12</v>
      </c>
      <c r="M1158" t="b">
        <v>0</v>
      </c>
      <c r="O1158" s="1">
        <v>46191.124675925923</v>
      </c>
    </row>
    <row r="1159" spans="1:15" x14ac:dyDescent="0.25">
      <c r="A1159">
        <v>1181131259</v>
      </c>
      <c r="B1159" t="s">
        <v>782</v>
      </c>
      <c r="G1159">
        <v>16</v>
      </c>
      <c r="H1159" t="s">
        <v>13</v>
      </c>
      <c r="I1159">
        <v>476</v>
      </c>
      <c r="J1159">
        <v>477.2</v>
      </c>
      <c r="L1159" t="s">
        <v>12</v>
      </c>
      <c r="M1159" t="b">
        <v>0</v>
      </c>
      <c r="O1159" s="1">
        <v>46191.124675925923</v>
      </c>
    </row>
    <row r="1160" spans="1:15" x14ac:dyDescent="0.25">
      <c r="A1160">
        <v>-2094738279</v>
      </c>
      <c r="B1160" t="s">
        <v>785</v>
      </c>
      <c r="C1160" t="s">
        <v>466</v>
      </c>
      <c r="D1160" t="s">
        <v>514</v>
      </c>
      <c r="E1160" t="s">
        <v>336</v>
      </c>
      <c r="F1160">
        <v>50</v>
      </c>
      <c r="K1160" s="1">
        <v>46201.16988425926</v>
      </c>
      <c r="M1160" t="b">
        <v>0</v>
      </c>
      <c r="O1160" s="1">
        <v>46201.16988425926</v>
      </c>
    </row>
    <row r="1161" spans="1:15" x14ac:dyDescent="0.25">
      <c r="A1161">
        <v>230348006</v>
      </c>
      <c r="B1161" t="s">
        <v>785</v>
      </c>
      <c r="G1161">
        <v>69</v>
      </c>
      <c r="H1161" t="s">
        <v>174</v>
      </c>
      <c r="I1161">
        <v>10</v>
      </c>
      <c r="J1161">
        <v>9.9600000000000009</v>
      </c>
      <c r="L1161" t="s">
        <v>12</v>
      </c>
      <c r="M1161" t="b">
        <v>0</v>
      </c>
      <c r="O1161" s="1">
        <v>46201.16988425926</v>
      </c>
    </row>
    <row r="1162" spans="1:15" x14ac:dyDescent="0.25">
      <c r="A1162">
        <v>-2137124753</v>
      </c>
      <c r="B1162" t="s">
        <v>785</v>
      </c>
      <c r="G1162">
        <v>26</v>
      </c>
      <c r="H1162" t="s">
        <v>186</v>
      </c>
      <c r="I1162">
        <v>48</v>
      </c>
      <c r="J1162">
        <v>47.84</v>
      </c>
      <c r="L1162" t="s">
        <v>12</v>
      </c>
      <c r="M1162" t="b">
        <v>0</v>
      </c>
      <c r="O1162" s="1">
        <v>46201.16988425926</v>
      </c>
    </row>
    <row r="1163" spans="1:15" x14ac:dyDescent="0.25">
      <c r="A1163">
        <v>-817062524</v>
      </c>
      <c r="B1163" t="s">
        <v>785</v>
      </c>
      <c r="G1163">
        <v>57</v>
      </c>
      <c r="H1163" t="s">
        <v>17</v>
      </c>
      <c r="I1163">
        <v>115</v>
      </c>
      <c r="J1163">
        <v>114.26</v>
      </c>
      <c r="L1163" t="s">
        <v>12</v>
      </c>
      <c r="M1163" t="b">
        <v>0</v>
      </c>
      <c r="O1163" s="1">
        <v>46201.16988425926</v>
      </c>
    </row>
    <row r="1164" spans="1:15" x14ac:dyDescent="0.25">
      <c r="A1164">
        <v>318523445</v>
      </c>
      <c r="B1164" t="s">
        <v>785</v>
      </c>
      <c r="G1164">
        <v>41</v>
      </c>
      <c r="H1164" t="s">
        <v>29</v>
      </c>
      <c r="I1164">
        <v>120</v>
      </c>
      <c r="J1164">
        <v>119.77</v>
      </c>
      <c r="L1164" t="s">
        <v>12</v>
      </c>
      <c r="M1164" t="b">
        <v>0</v>
      </c>
      <c r="O1164" s="1">
        <v>46201.16988425926</v>
      </c>
    </row>
    <row r="1165" spans="1:15" x14ac:dyDescent="0.25">
      <c r="A1165">
        <v>69773501</v>
      </c>
      <c r="B1165" t="s">
        <v>786</v>
      </c>
      <c r="C1165" t="s">
        <v>424</v>
      </c>
      <c r="D1165" t="s">
        <v>685</v>
      </c>
      <c r="E1165" t="s">
        <v>336</v>
      </c>
      <c r="F1165">
        <v>450</v>
      </c>
      <c r="K1165" s="1">
        <v>46191.156261574077</v>
      </c>
      <c r="M1165" t="b">
        <v>0</v>
      </c>
      <c r="O1165" s="1">
        <v>46191.156261574077</v>
      </c>
    </row>
    <row r="1166" spans="1:15" x14ac:dyDescent="0.25">
      <c r="A1166">
        <v>-2130741446</v>
      </c>
      <c r="B1166" t="s">
        <v>786</v>
      </c>
      <c r="G1166">
        <v>41</v>
      </c>
      <c r="H1166" t="s">
        <v>29</v>
      </c>
      <c r="I1166">
        <v>6525</v>
      </c>
      <c r="J1166">
        <v>6469.7</v>
      </c>
      <c r="L1166" t="s">
        <v>12</v>
      </c>
      <c r="M1166" t="b">
        <v>0</v>
      </c>
      <c r="O1166" s="1">
        <v>46191.156261574077</v>
      </c>
    </row>
    <row r="1167" spans="1:15" x14ac:dyDescent="0.25">
      <c r="A1167">
        <v>1585844531</v>
      </c>
      <c r="B1167" t="s">
        <v>786</v>
      </c>
      <c r="G1167">
        <v>66</v>
      </c>
      <c r="H1167" t="s">
        <v>200</v>
      </c>
      <c r="I1167">
        <v>1350</v>
      </c>
      <c r="J1167">
        <v>1343.4</v>
      </c>
      <c r="L1167" t="s">
        <v>12</v>
      </c>
      <c r="M1167" t="b">
        <v>0</v>
      </c>
      <c r="O1167" s="1">
        <v>46191.156261574077</v>
      </c>
    </row>
    <row r="1168" spans="1:15" x14ac:dyDescent="0.25">
      <c r="A1168">
        <v>-1631266824</v>
      </c>
      <c r="B1168" t="s">
        <v>786</v>
      </c>
      <c r="G1168">
        <v>16</v>
      </c>
      <c r="H1168" t="s">
        <v>13</v>
      </c>
      <c r="I1168">
        <v>585</v>
      </c>
      <c r="J1168">
        <v>584.9</v>
      </c>
      <c r="L1168" t="s">
        <v>12</v>
      </c>
      <c r="M1168" t="b">
        <v>0</v>
      </c>
      <c r="O1168" s="1">
        <v>46191.156261574077</v>
      </c>
    </row>
    <row r="1169" spans="1:15" x14ac:dyDescent="0.25">
      <c r="A1169">
        <v>-1358934934</v>
      </c>
      <c r="B1169" t="s">
        <v>787</v>
      </c>
      <c r="C1169" t="s">
        <v>624</v>
      </c>
      <c r="D1169" t="s">
        <v>625</v>
      </c>
      <c r="E1169" t="s">
        <v>340</v>
      </c>
      <c r="F1169">
        <v>50</v>
      </c>
      <c r="K1169" s="1">
        <v>46201.21570601852</v>
      </c>
      <c r="M1169" t="b">
        <v>0</v>
      </c>
      <c r="O1169" s="1">
        <v>46201.21570601852</v>
      </c>
    </row>
    <row r="1170" spans="1:15" x14ac:dyDescent="0.25">
      <c r="A1170">
        <v>-1875596637</v>
      </c>
      <c r="B1170" t="s">
        <v>787</v>
      </c>
      <c r="G1170">
        <v>41</v>
      </c>
      <c r="H1170" t="s">
        <v>29</v>
      </c>
      <c r="I1170">
        <v>280</v>
      </c>
      <c r="J1170">
        <v>278.41000000000003</v>
      </c>
      <c r="L1170" t="s">
        <v>12</v>
      </c>
      <c r="M1170" t="b">
        <v>0</v>
      </c>
      <c r="O1170" s="1">
        <v>46201.21570601852</v>
      </c>
    </row>
    <row r="1171" spans="1:15" x14ac:dyDescent="0.25">
      <c r="A1171">
        <v>1682993320</v>
      </c>
      <c r="B1171" t="s">
        <v>787</v>
      </c>
      <c r="G1171">
        <v>68</v>
      </c>
      <c r="H1171" t="s">
        <v>14</v>
      </c>
      <c r="I1171">
        <v>41.5</v>
      </c>
      <c r="J1171">
        <v>41.53</v>
      </c>
      <c r="L1171" t="s">
        <v>12</v>
      </c>
      <c r="M1171" t="b">
        <v>0</v>
      </c>
      <c r="O1171" s="1">
        <v>46201.21570601852</v>
      </c>
    </row>
    <row r="1172" spans="1:15" x14ac:dyDescent="0.25">
      <c r="A1172">
        <v>-916800119</v>
      </c>
      <c r="B1172" t="s">
        <v>787</v>
      </c>
      <c r="G1172">
        <v>11</v>
      </c>
      <c r="H1172" t="s">
        <v>33</v>
      </c>
      <c r="I1172">
        <v>12.5</v>
      </c>
      <c r="J1172">
        <v>12.44</v>
      </c>
      <c r="L1172" t="s">
        <v>12</v>
      </c>
      <c r="M1172" t="b">
        <v>0</v>
      </c>
      <c r="O1172" s="1">
        <v>46201.21570601852</v>
      </c>
    </row>
    <row r="1173" spans="1:15" x14ac:dyDescent="0.25">
      <c r="A1173">
        <v>-1748949865</v>
      </c>
      <c r="B1173" t="s">
        <v>788</v>
      </c>
      <c r="C1173" t="s">
        <v>356</v>
      </c>
      <c r="D1173" t="s">
        <v>224</v>
      </c>
      <c r="E1173" t="s">
        <v>340</v>
      </c>
      <c r="F1173">
        <v>250</v>
      </c>
      <c r="K1173" s="1">
        <v>46191.271828703706</v>
      </c>
      <c r="M1173" t="b">
        <v>0</v>
      </c>
      <c r="O1173" s="1">
        <v>46191.271828703706</v>
      </c>
    </row>
    <row r="1174" spans="1:15" x14ac:dyDescent="0.25">
      <c r="A1174">
        <v>-1500309364</v>
      </c>
      <c r="B1174" t="s">
        <v>788</v>
      </c>
      <c r="G1174">
        <v>41</v>
      </c>
      <c r="H1174" t="s">
        <v>29</v>
      </c>
      <c r="I1174">
        <v>4067.5</v>
      </c>
      <c r="J1174">
        <v>4089.6</v>
      </c>
      <c r="L1174" t="s">
        <v>12</v>
      </c>
      <c r="M1174" t="b">
        <v>0</v>
      </c>
      <c r="O1174" s="1">
        <v>46191.271828703706</v>
      </c>
    </row>
    <row r="1175" spans="1:15" x14ac:dyDescent="0.25">
      <c r="A1175">
        <v>-689366883</v>
      </c>
      <c r="B1175" t="s">
        <v>788</v>
      </c>
      <c r="G1175">
        <v>35</v>
      </c>
      <c r="H1175" t="s">
        <v>36</v>
      </c>
      <c r="I1175">
        <v>591</v>
      </c>
      <c r="J1175">
        <v>591.6</v>
      </c>
      <c r="L1175" t="s">
        <v>12</v>
      </c>
      <c r="M1175" t="b">
        <v>0</v>
      </c>
      <c r="O1175" s="1">
        <v>46191.271828703706</v>
      </c>
    </row>
    <row r="1176" spans="1:15" x14ac:dyDescent="0.25">
      <c r="A1176">
        <v>156656026</v>
      </c>
      <c r="B1176" t="s">
        <v>788</v>
      </c>
      <c r="G1176">
        <v>16</v>
      </c>
      <c r="H1176" t="s">
        <v>13</v>
      </c>
      <c r="I1176">
        <v>542.5</v>
      </c>
      <c r="J1176">
        <v>547.5</v>
      </c>
      <c r="L1176" t="s">
        <v>12</v>
      </c>
      <c r="M1176" t="b">
        <v>0</v>
      </c>
      <c r="O1176" s="1">
        <v>46191.271828703706</v>
      </c>
    </row>
    <row r="1177" spans="1:15" x14ac:dyDescent="0.25">
      <c r="A1177">
        <v>-1644876213</v>
      </c>
      <c r="B1177" t="s">
        <v>789</v>
      </c>
      <c r="C1177" t="s">
        <v>790</v>
      </c>
      <c r="D1177" t="s">
        <v>386</v>
      </c>
      <c r="E1177" t="s">
        <v>340</v>
      </c>
      <c r="F1177">
        <v>250</v>
      </c>
      <c r="K1177" s="1">
        <v>46191.557187500002</v>
      </c>
      <c r="M1177" t="b">
        <v>0</v>
      </c>
      <c r="O1177" s="1">
        <v>46191.557187500002</v>
      </c>
    </row>
    <row r="1178" spans="1:15" x14ac:dyDescent="0.25">
      <c r="A1178">
        <v>1735427376</v>
      </c>
      <c r="B1178" t="s">
        <v>789</v>
      </c>
      <c r="G1178">
        <v>41</v>
      </c>
      <c r="H1178" t="s">
        <v>29</v>
      </c>
      <c r="I1178">
        <v>4867.5</v>
      </c>
      <c r="L1178" t="s">
        <v>15</v>
      </c>
      <c r="M1178" t="b">
        <v>0</v>
      </c>
      <c r="O1178" s="1">
        <v>46191.557187500002</v>
      </c>
    </row>
    <row r="1179" spans="1:15" x14ac:dyDescent="0.25">
      <c r="A1179">
        <v>-1569683087</v>
      </c>
      <c r="B1179" t="s">
        <v>789</v>
      </c>
      <c r="G1179">
        <v>49</v>
      </c>
      <c r="H1179" t="s">
        <v>181</v>
      </c>
      <c r="I1179">
        <v>150</v>
      </c>
      <c r="L1179" t="s">
        <v>15</v>
      </c>
      <c r="M1179" t="b">
        <v>0</v>
      </c>
      <c r="O1179" s="1">
        <v>46191.557187500002</v>
      </c>
    </row>
    <row r="1180" spans="1:15" x14ac:dyDescent="0.25">
      <c r="A1180">
        <v>-1870418210</v>
      </c>
      <c r="B1180" t="s">
        <v>789</v>
      </c>
      <c r="G1180">
        <v>68</v>
      </c>
      <c r="H1180" t="s">
        <v>14</v>
      </c>
      <c r="I1180">
        <v>75</v>
      </c>
      <c r="L1180" t="s">
        <v>15</v>
      </c>
      <c r="M1180" t="b">
        <v>0</v>
      </c>
      <c r="O1180" s="1">
        <v>46191.557187500002</v>
      </c>
    </row>
    <row r="1181" spans="1:15" x14ac:dyDescent="0.25">
      <c r="A1181">
        <v>-1748946681</v>
      </c>
      <c r="B1181" t="s">
        <v>789</v>
      </c>
      <c r="G1181">
        <v>16</v>
      </c>
      <c r="H1181" t="s">
        <v>13</v>
      </c>
      <c r="I1181">
        <v>25</v>
      </c>
      <c r="L1181" t="s">
        <v>15</v>
      </c>
      <c r="M1181" t="b">
        <v>0</v>
      </c>
      <c r="O1181" s="1">
        <v>46191.557187500002</v>
      </c>
    </row>
    <row r="1182" spans="1:15" x14ac:dyDescent="0.25">
      <c r="A1182">
        <v>-730890935</v>
      </c>
      <c r="B1182" t="s">
        <v>791</v>
      </c>
      <c r="C1182" t="s">
        <v>382</v>
      </c>
      <c r="D1182" t="s">
        <v>380</v>
      </c>
      <c r="E1182" t="s">
        <v>364</v>
      </c>
      <c r="F1182">
        <v>50</v>
      </c>
      <c r="K1182" s="1">
        <v>46201.762743055559</v>
      </c>
      <c r="M1182" t="b">
        <v>0</v>
      </c>
      <c r="O1182" s="1">
        <v>46201.762743055559</v>
      </c>
    </row>
    <row r="1183" spans="1:15" x14ac:dyDescent="0.25">
      <c r="A1183">
        <v>661167062</v>
      </c>
      <c r="B1183" t="s">
        <v>791</v>
      </c>
      <c r="G1183">
        <v>41</v>
      </c>
      <c r="H1183" t="s">
        <v>29</v>
      </c>
      <c r="I1183">
        <v>325</v>
      </c>
      <c r="J1183">
        <v>323.95999999999998</v>
      </c>
      <c r="L1183" t="s">
        <v>12</v>
      </c>
      <c r="M1183" t="b">
        <v>0</v>
      </c>
      <c r="O1183" s="1">
        <v>46201.762743055559</v>
      </c>
    </row>
    <row r="1184" spans="1:15" x14ac:dyDescent="0.25">
      <c r="A1184">
        <v>820357279</v>
      </c>
      <c r="B1184" t="s">
        <v>791</v>
      </c>
      <c r="G1184">
        <v>35</v>
      </c>
      <c r="H1184" t="s">
        <v>36</v>
      </c>
      <c r="I1184">
        <v>9</v>
      </c>
      <c r="J1184">
        <v>9.02</v>
      </c>
      <c r="L1184" t="s">
        <v>12</v>
      </c>
      <c r="M1184" t="b">
        <v>0</v>
      </c>
      <c r="O1184" s="1">
        <v>46201.762743055559</v>
      </c>
    </row>
    <row r="1185" spans="1:15" x14ac:dyDescent="0.25">
      <c r="A1185">
        <v>983399924</v>
      </c>
      <c r="B1185" t="s">
        <v>791</v>
      </c>
      <c r="G1185">
        <v>16</v>
      </c>
      <c r="H1185" t="s">
        <v>13</v>
      </c>
      <c r="I1185">
        <v>15</v>
      </c>
      <c r="J1185">
        <v>14.95</v>
      </c>
      <c r="L1185" t="s">
        <v>12</v>
      </c>
      <c r="M1185" t="b">
        <v>0</v>
      </c>
      <c r="O1185" s="1">
        <v>46201.762743055559</v>
      </c>
    </row>
    <row r="1186" spans="1:15" x14ac:dyDescent="0.25">
      <c r="A1186">
        <v>863650796</v>
      </c>
      <c r="B1186" t="s">
        <v>792</v>
      </c>
      <c r="C1186" t="s">
        <v>650</v>
      </c>
      <c r="D1186" t="s">
        <v>383</v>
      </c>
      <c r="E1186" t="s">
        <v>336</v>
      </c>
      <c r="F1186">
        <v>50</v>
      </c>
      <c r="K1186" s="1">
        <v>46191.791504629633</v>
      </c>
      <c r="M1186" t="b">
        <v>0</v>
      </c>
      <c r="O1186" s="1">
        <v>46191.791504629633</v>
      </c>
    </row>
    <row r="1187" spans="1:15" x14ac:dyDescent="0.25">
      <c r="A1187">
        <v>1149499517</v>
      </c>
      <c r="B1187" t="s">
        <v>792</v>
      </c>
      <c r="G1187">
        <v>58</v>
      </c>
      <c r="H1187" t="s">
        <v>32</v>
      </c>
      <c r="I1187">
        <v>900</v>
      </c>
      <c r="J1187">
        <v>904.1</v>
      </c>
      <c r="L1187" t="s">
        <v>12</v>
      </c>
      <c r="M1187" t="b">
        <v>0</v>
      </c>
      <c r="O1187" s="1">
        <v>46191.791504629633</v>
      </c>
    </row>
    <row r="1188" spans="1:15" x14ac:dyDescent="0.25">
      <c r="A1188">
        <v>179502074</v>
      </c>
      <c r="B1188" t="s">
        <v>792</v>
      </c>
      <c r="G1188">
        <v>41</v>
      </c>
      <c r="H1188" t="s">
        <v>29</v>
      </c>
      <c r="I1188">
        <v>288</v>
      </c>
      <c r="J1188">
        <v>288.7</v>
      </c>
      <c r="L1188" t="s">
        <v>12</v>
      </c>
      <c r="M1188" t="b">
        <v>0</v>
      </c>
      <c r="O1188" s="1">
        <v>46191.791504629633</v>
      </c>
    </row>
    <row r="1189" spans="1:15" x14ac:dyDescent="0.25">
      <c r="A1189">
        <v>1280894707</v>
      </c>
      <c r="B1189" t="s">
        <v>792</v>
      </c>
      <c r="G1189">
        <v>35</v>
      </c>
      <c r="H1189" t="s">
        <v>36</v>
      </c>
      <c r="I1189">
        <v>273.5</v>
      </c>
      <c r="J1189">
        <v>272.8</v>
      </c>
      <c r="L1189" t="s">
        <v>12</v>
      </c>
      <c r="M1189" t="b">
        <v>0</v>
      </c>
      <c r="O1189" s="1">
        <v>46191.791504629633</v>
      </c>
    </row>
    <row r="1190" spans="1:15" x14ac:dyDescent="0.25">
      <c r="A1190">
        <v>-1998656840</v>
      </c>
      <c r="B1190" t="s">
        <v>792</v>
      </c>
      <c r="G1190">
        <v>44</v>
      </c>
      <c r="H1190" t="s">
        <v>16</v>
      </c>
      <c r="I1190">
        <v>35.4</v>
      </c>
      <c r="J1190">
        <v>35.5</v>
      </c>
      <c r="L1190" t="s">
        <v>12</v>
      </c>
      <c r="M1190" t="b">
        <v>0</v>
      </c>
      <c r="O1190" s="1">
        <v>46191.791504629633</v>
      </c>
    </row>
    <row r="1191" spans="1:15" x14ac:dyDescent="0.25">
      <c r="A1191">
        <v>2057202505</v>
      </c>
      <c r="B1191" t="s">
        <v>793</v>
      </c>
      <c r="C1191" t="s">
        <v>392</v>
      </c>
      <c r="D1191" t="s">
        <v>777</v>
      </c>
      <c r="E1191" t="s">
        <v>336</v>
      </c>
      <c r="F1191">
        <v>50</v>
      </c>
      <c r="K1191" s="1">
        <v>46191.823645833334</v>
      </c>
      <c r="M1191" t="b">
        <v>0</v>
      </c>
      <c r="O1191" s="1">
        <v>46191.823645833334</v>
      </c>
    </row>
    <row r="1192" spans="1:15" x14ac:dyDescent="0.25">
      <c r="A1192">
        <v>125596118</v>
      </c>
      <c r="B1192" t="s">
        <v>793</v>
      </c>
      <c r="G1192">
        <v>41</v>
      </c>
      <c r="H1192" t="s">
        <v>29</v>
      </c>
      <c r="I1192">
        <v>250.5</v>
      </c>
      <c r="J1192">
        <v>251.1</v>
      </c>
      <c r="L1192" t="s">
        <v>12</v>
      </c>
      <c r="M1192" t="b">
        <v>0</v>
      </c>
      <c r="O1192" s="1">
        <v>46191.823645833334</v>
      </c>
    </row>
    <row r="1193" spans="1:15" x14ac:dyDescent="0.25">
      <c r="A1193">
        <v>-425310561</v>
      </c>
      <c r="B1193" t="s">
        <v>793</v>
      </c>
      <c r="G1193">
        <v>59</v>
      </c>
      <c r="H1193" t="s">
        <v>31</v>
      </c>
      <c r="I1193">
        <v>27</v>
      </c>
      <c r="J1193">
        <v>27.3</v>
      </c>
      <c r="L1193" t="s">
        <v>15</v>
      </c>
      <c r="M1193" t="b">
        <v>0</v>
      </c>
      <c r="O1193" s="1">
        <v>46191.823645833334</v>
      </c>
    </row>
    <row r="1194" spans="1:15" x14ac:dyDescent="0.25">
      <c r="A1194">
        <v>-1150467084</v>
      </c>
      <c r="B1194" t="s">
        <v>793</v>
      </c>
      <c r="G1194">
        <v>16</v>
      </c>
      <c r="H1194" t="s">
        <v>13</v>
      </c>
      <c r="I1194">
        <v>165.55</v>
      </c>
      <c r="J1194">
        <v>164.4</v>
      </c>
      <c r="L1194" t="s">
        <v>12</v>
      </c>
      <c r="M1194" t="b">
        <v>0</v>
      </c>
      <c r="O1194" s="1">
        <v>46191.823645833334</v>
      </c>
    </row>
    <row r="1195" spans="1:15" x14ac:dyDescent="0.25">
      <c r="A1195">
        <v>1447176677</v>
      </c>
      <c r="B1195" t="s">
        <v>793</v>
      </c>
      <c r="G1195">
        <v>40</v>
      </c>
      <c r="H1195" t="s">
        <v>127</v>
      </c>
      <c r="I1195">
        <v>115</v>
      </c>
      <c r="J1195">
        <v>115.5</v>
      </c>
      <c r="L1195" t="s">
        <v>12</v>
      </c>
      <c r="M1195" t="b">
        <v>0</v>
      </c>
      <c r="O1195" s="1">
        <v>46191.823645833334</v>
      </c>
    </row>
    <row r="1196" spans="1:15" x14ac:dyDescent="0.25">
      <c r="A1196">
        <v>1535449922</v>
      </c>
      <c r="B1196" t="s">
        <v>793</v>
      </c>
      <c r="G1196">
        <v>35</v>
      </c>
      <c r="H1196" t="s">
        <v>36</v>
      </c>
      <c r="I1196">
        <v>66.5</v>
      </c>
      <c r="J1196">
        <v>66.400000000000006</v>
      </c>
      <c r="L1196" t="s">
        <v>12</v>
      </c>
      <c r="M1196" t="b">
        <v>0</v>
      </c>
      <c r="O1196" s="1">
        <v>46191.823645833334</v>
      </c>
    </row>
    <row r="1197" spans="1:15" x14ac:dyDescent="0.25">
      <c r="A1197">
        <v>-1285351781</v>
      </c>
      <c r="B1197" t="s">
        <v>794</v>
      </c>
      <c r="C1197" t="s">
        <v>566</v>
      </c>
      <c r="D1197" t="s">
        <v>567</v>
      </c>
      <c r="E1197" t="s">
        <v>336</v>
      </c>
      <c r="F1197">
        <v>450</v>
      </c>
      <c r="K1197" s="1">
        <v>46191.838935185187</v>
      </c>
      <c r="M1197" t="b">
        <v>0</v>
      </c>
      <c r="O1197" s="1">
        <v>46191.838935185187</v>
      </c>
    </row>
    <row r="1198" spans="1:15" x14ac:dyDescent="0.25">
      <c r="A1198">
        <v>1853504320</v>
      </c>
      <c r="B1198" t="s">
        <v>794</v>
      </c>
      <c r="G1198">
        <v>41</v>
      </c>
      <c r="H1198" t="s">
        <v>29</v>
      </c>
      <c r="I1198">
        <v>5805</v>
      </c>
      <c r="J1198">
        <v>5839.9</v>
      </c>
      <c r="L1198" t="s">
        <v>12</v>
      </c>
      <c r="M1198" t="b">
        <v>0</v>
      </c>
      <c r="O1198" s="1">
        <v>46191.838935185187</v>
      </c>
    </row>
    <row r="1199" spans="1:15" x14ac:dyDescent="0.25">
      <c r="A1199">
        <v>-860362175</v>
      </c>
      <c r="B1199" t="s">
        <v>794</v>
      </c>
      <c r="G1199">
        <v>35</v>
      </c>
      <c r="H1199" t="s">
        <v>36</v>
      </c>
      <c r="I1199">
        <v>450</v>
      </c>
      <c r="J1199">
        <v>452.1</v>
      </c>
      <c r="L1199" t="s">
        <v>12</v>
      </c>
      <c r="M1199" t="b">
        <v>0</v>
      </c>
      <c r="O1199" s="1">
        <v>46191.838935185187</v>
      </c>
    </row>
    <row r="1200" spans="1:15" x14ac:dyDescent="0.25">
      <c r="A1200">
        <v>1141543790</v>
      </c>
      <c r="B1200" t="s">
        <v>794</v>
      </c>
      <c r="G1200">
        <v>44</v>
      </c>
      <c r="H1200" t="s">
        <v>16</v>
      </c>
      <c r="I1200">
        <v>149.85</v>
      </c>
      <c r="J1200">
        <v>151.1</v>
      </c>
      <c r="L1200" t="s">
        <v>12</v>
      </c>
      <c r="M1200" t="b">
        <v>0</v>
      </c>
      <c r="O1200" s="1">
        <v>46191.838935185187</v>
      </c>
    </row>
    <row r="1201" spans="1:15" x14ac:dyDescent="0.25">
      <c r="A1201">
        <v>-783523834</v>
      </c>
      <c r="B1201" t="s">
        <v>795</v>
      </c>
      <c r="C1201" t="s">
        <v>682</v>
      </c>
      <c r="D1201" t="s">
        <v>613</v>
      </c>
      <c r="E1201" t="s">
        <v>313</v>
      </c>
      <c r="F1201">
        <v>250</v>
      </c>
      <c r="K1201" s="1">
        <v>46191.866956018515</v>
      </c>
      <c r="M1201" t="b">
        <v>0</v>
      </c>
      <c r="O1201" s="1">
        <v>46191.866956018515</v>
      </c>
    </row>
    <row r="1202" spans="1:15" x14ac:dyDescent="0.25">
      <c r="A1202">
        <v>-869120753</v>
      </c>
      <c r="B1202" t="s">
        <v>795</v>
      </c>
      <c r="G1202">
        <v>41</v>
      </c>
      <c r="H1202" t="s">
        <v>29</v>
      </c>
      <c r="I1202">
        <v>2875</v>
      </c>
      <c r="J1202">
        <v>2873.5</v>
      </c>
      <c r="L1202" t="s">
        <v>12</v>
      </c>
      <c r="M1202" t="b">
        <v>0</v>
      </c>
      <c r="O1202" s="1">
        <v>46191.866956018515</v>
      </c>
    </row>
    <row r="1203" spans="1:15" x14ac:dyDescent="0.25">
      <c r="A1203">
        <v>1201773988</v>
      </c>
      <c r="B1203" t="s">
        <v>795</v>
      </c>
      <c r="G1203">
        <v>35</v>
      </c>
      <c r="H1203" t="s">
        <v>36</v>
      </c>
      <c r="I1203">
        <v>522.5</v>
      </c>
      <c r="J1203">
        <v>523.6</v>
      </c>
      <c r="L1203" t="s">
        <v>12</v>
      </c>
      <c r="M1203" t="b">
        <v>0</v>
      </c>
      <c r="O1203" s="1">
        <v>46191.866956018515</v>
      </c>
    </row>
    <row r="1204" spans="1:15" x14ac:dyDescent="0.25">
      <c r="A1204">
        <v>658901</v>
      </c>
      <c r="B1204" t="s">
        <v>795</v>
      </c>
      <c r="G1204">
        <v>11</v>
      </c>
      <c r="H1204" t="s">
        <v>33</v>
      </c>
      <c r="I1204">
        <v>62.5</v>
      </c>
      <c r="J1204">
        <v>62.1</v>
      </c>
      <c r="L1204" t="s">
        <v>12</v>
      </c>
      <c r="M1204" t="b">
        <v>0</v>
      </c>
      <c r="O1204" s="1">
        <v>46191.866956018515</v>
      </c>
    </row>
    <row r="1205" spans="1:15" x14ac:dyDescent="0.25">
      <c r="A1205">
        <v>-515366498</v>
      </c>
      <c r="B1205" t="s">
        <v>796</v>
      </c>
      <c r="C1205" t="s">
        <v>797</v>
      </c>
      <c r="D1205" t="s">
        <v>798</v>
      </c>
      <c r="E1205" t="s">
        <v>313</v>
      </c>
      <c r="F1205">
        <v>50</v>
      </c>
      <c r="K1205" s="1">
        <v>46201.917129629626</v>
      </c>
      <c r="M1205" t="b">
        <v>0</v>
      </c>
      <c r="O1205" s="1">
        <v>46201.917129629626</v>
      </c>
    </row>
    <row r="1206" spans="1:15" x14ac:dyDescent="0.25">
      <c r="A1206">
        <v>962714823</v>
      </c>
      <c r="B1206" t="s">
        <v>796</v>
      </c>
      <c r="G1206">
        <v>41</v>
      </c>
      <c r="H1206" t="s">
        <v>29</v>
      </c>
      <c r="I1206">
        <v>250</v>
      </c>
      <c r="J1206">
        <v>250.98</v>
      </c>
      <c r="L1206" t="s">
        <v>12</v>
      </c>
      <c r="M1206" t="b">
        <v>0</v>
      </c>
      <c r="O1206" s="1">
        <v>46201.917129629626</v>
      </c>
    </row>
    <row r="1207" spans="1:15" x14ac:dyDescent="0.25">
      <c r="A1207">
        <v>-1857120004</v>
      </c>
      <c r="B1207" t="s">
        <v>796</v>
      </c>
      <c r="G1207">
        <v>35</v>
      </c>
      <c r="H1207" t="s">
        <v>36</v>
      </c>
      <c r="I1207">
        <v>25</v>
      </c>
      <c r="J1207">
        <v>25.04</v>
      </c>
      <c r="L1207" t="s">
        <v>12</v>
      </c>
      <c r="M1207" t="b">
        <v>0</v>
      </c>
      <c r="O1207" s="1">
        <v>46201.917129629626</v>
      </c>
    </row>
    <row r="1208" spans="1:15" x14ac:dyDescent="0.25">
      <c r="A1208">
        <v>2068008013</v>
      </c>
      <c r="B1208" t="s">
        <v>796</v>
      </c>
      <c r="G1208">
        <v>44</v>
      </c>
      <c r="H1208" t="s">
        <v>16</v>
      </c>
      <c r="I1208">
        <v>12.5</v>
      </c>
      <c r="J1208">
        <v>12.51</v>
      </c>
      <c r="L1208" t="s">
        <v>12</v>
      </c>
      <c r="M1208" t="b">
        <v>0</v>
      </c>
      <c r="O1208" s="1">
        <v>46201.917129629626</v>
      </c>
    </row>
    <row r="1209" spans="1:15" x14ac:dyDescent="0.25">
      <c r="A1209">
        <v>1286468407</v>
      </c>
      <c r="B1209" t="s">
        <v>799</v>
      </c>
      <c r="C1209" t="s">
        <v>800</v>
      </c>
      <c r="D1209" t="s">
        <v>801</v>
      </c>
      <c r="E1209" t="s">
        <v>364</v>
      </c>
      <c r="F1209">
        <v>120</v>
      </c>
      <c r="K1209" s="1">
        <v>46191.903796296298</v>
      </c>
      <c r="M1209" t="b">
        <v>0</v>
      </c>
      <c r="O1209" s="1">
        <v>46191.903796296298</v>
      </c>
    </row>
    <row r="1210" spans="1:15" x14ac:dyDescent="0.25">
      <c r="A1210">
        <v>-1109972308</v>
      </c>
      <c r="B1210" t="s">
        <v>799</v>
      </c>
      <c r="G1210">
        <v>41</v>
      </c>
      <c r="H1210" t="s">
        <v>29</v>
      </c>
      <c r="I1210">
        <v>1066.8</v>
      </c>
      <c r="J1210">
        <v>1062</v>
      </c>
      <c r="L1210" t="s">
        <v>12</v>
      </c>
      <c r="M1210" t="b">
        <v>0</v>
      </c>
      <c r="O1210" s="1">
        <v>46191.903796296298</v>
      </c>
    </row>
    <row r="1211" spans="1:15" x14ac:dyDescent="0.25">
      <c r="A1211">
        <v>-30865347</v>
      </c>
      <c r="B1211" t="s">
        <v>799</v>
      </c>
      <c r="G1211">
        <v>35</v>
      </c>
      <c r="H1211" t="s">
        <v>36</v>
      </c>
      <c r="I1211">
        <v>89.4</v>
      </c>
      <c r="J1211">
        <v>91.5</v>
      </c>
      <c r="L1211" t="s">
        <v>15</v>
      </c>
      <c r="M1211" t="b">
        <v>0</v>
      </c>
      <c r="O1211" s="1">
        <v>46191.903796296298</v>
      </c>
    </row>
    <row r="1212" spans="1:15" x14ac:dyDescent="0.25">
      <c r="A1212">
        <v>685588666</v>
      </c>
      <c r="B1212" t="s">
        <v>799</v>
      </c>
      <c r="G1212">
        <v>44</v>
      </c>
      <c r="H1212" t="s">
        <v>16</v>
      </c>
      <c r="I1212">
        <v>72</v>
      </c>
      <c r="J1212">
        <v>75.5</v>
      </c>
      <c r="L1212" t="s">
        <v>15</v>
      </c>
      <c r="M1212" t="b">
        <v>0</v>
      </c>
      <c r="O1212" s="1">
        <v>46191.903796296298</v>
      </c>
    </row>
    <row r="1213" spans="1:15" x14ac:dyDescent="0.25">
      <c r="A1213">
        <v>59473075</v>
      </c>
      <c r="B1213" t="s">
        <v>802</v>
      </c>
      <c r="C1213" t="s">
        <v>518</v>
      </c>
      <c r="D1213" t="s">
        <v>223</v>
      </c>
      <c r="E1213" t="s">
        <v>313</v>
      </c>
      <c r="F1213">
        <v>50</v>
      </c>
      <c r="K1213" s="1">
        <v>46191.905231481483</v>
      </c>
      <c r="M1213" t="b">
        <v>0</v>
      </c>
      <c r="O1213" s="1">
        <v>46191.905231481483</v>
      </c>
    </row>
    <row r="1214" spans="1:15" x14ac:dyDescent="0.25">
      <c r="A1214">
        <v>-548553352</v>
      </c>
      <c r="B1214" t="s">
        <v>802</v>
      </c>
      <c r="G1214">
        <v>41</v>
      </c>
      <c r="H1214" t="s">
        <v>29</v>
      </c>
      <c r="I1214">
        <v>900</v>
      </c>
      <c r="J1214">
        <v>902.9</v>
      </c>
      <c r="L1214" t="s">
        <v>12</v>
      </c>
      <c r="M1214" t="b">
        <v>0</v>
      </c>
      <c r="O1214" s="1">
        <v>46191.905231481483</v>
      </c>
    </row>
    <row r="1215" spans="1:15" x14ac:dyDescent="0.25">
      <c r="A1215">
        <v>518266393</v>
      </c>
      <c r="B1215" t="s">
        <v>802</v>
      </c>
      <c r="G1215">
        <v>4</v>
      </c>
      <c r="H1215" t="s">
        <v>27</v>
      </c>
      <c r="I1215">
        <v>16.399999999999999</v>
      </c>
      <c r="J1215">
        <v>16.3</v>
      </c>
      <c r="L1215" t="s">
        <v>12</v>
      </c>
      <c r="M1215" t="b">
        <v>0</v>
      </c>
      <c r="O1215" s="1">
        <v>46191.905231481483</v>
      </c>
    </row>
    <row r="1216" spans="1:15" x14ac:dyDescent="0.25">
      <c r="A1216">
        <v>274920146</v>
      </c>
      <c r="B1216" t="s">
        <v>803</v>
      </c>
      <c r="C1216" t="s">
        <v>682</v>
      </c>
      <c r="D1216" t="s">
        <v>613</v>
      </c>
      <c r="E1216" t="s">
        <v>313</v>
      </c>
      <c r="F1216">
        <v>250</v>
      </c>
      <c r="K1216" s="1">
        <v>46191.910462962966</v>
      </c>
      <c r="M1216" t="b">
        <v>0</v>
      </c>
      <c r="O1216" s="1">
        <v>46191.910462962966</v>
      </c>
    </row>
    <row r="1217" spans="1:15" x14ac:dyDescent="0.25">
      <c r="A1217">
        <v>-502441237</v>
      </c>
      <c r="B1217" t="s">
        <v>803</v>
      </c>
      <c r="G1217">
        <v>41</v>
      </c>
      <c r="H1217" t="s">
        <v>29</v>
      </c>
      <c r="I1217">
        <v>2870</v>
      </c>
      <c r="J1217">
        <v>2874.2</v>
      </c>
      <c r="L1217" t="s">
        <v>12</v>
      </c>
      <c r="M1217" t="b">
        <v>0</v>
      </c>
      <c r="O1217" s="1">
        <v>46191.910462962966</v>
      </c>
    </row>
    <row r="1218" spans="1:15" x14ac:dyDescent="0.25">
      <c r="A1218">
        <v>533208400</v>
      </c>
      <c r="B1218" t="s">
        <v>803</v>
      </c>
      <c r="G1218">
        <v>35</v>
      </c>
      <c r="H1218" t="s">
        <v>36</v>
      </c>
      <c r="I1218">
        <v>500</v>
      </c>
      <c r="J1218">
        <v>505.2</v>
      </c>
      <c r="L1218" t="s">
        <v>15</v>
      </c>
      <c r="M1218" t="b">
        <v>0</v>
      </c>
      <c r="O1218" s="1">
        <v>46191.910462962966</v>
      </c>
    </row>
    <row r="1219" spans="1:15" x14ac:dyDescent="0.25">
      <c r="A1219">
        <v>612566801</v>
      </c>
      <c r="B1219" t="s">
        <v>803</v>
      </c>
      <c r="G1219">
        <v>11</v>
      </c>
      <c r="H1219" t="s">
        <v>33</v>
      </c>
      <c r="I1219">
        <v>71</v>
      </c>
      <c r="J1219">
        <v>71.3</v>
      </c>
      <c r="L1219" t="s">
        <v>12</v>
      </c>
      <c r="M1219" t="b">
        <v>0</v>
      </c>
      <c r="O1219" s="1">
        <v>46191.910462962966</v>
      </c>
    </row>
    <row r="1220" spans="1:15" x14ac:dyDescent="0.25">
      <c r="A1220">
        <v>-281307101</v>
      </c>
      <c r="B1220" t="s">
        <v>804</v>
      </c>
      <c r="C1220" t="s">
        <v>650</v>
      </c>
      <c r="D1220" t="s">
        <v>383</v>
      </c>
      <c r="E1220" t="s">
        <v>336</v>
      </c>
      <c r="F1220">
        <v>50</v>
      </c>
      <c r="K1220" s="1">
        <v>46191.92328703704</v>
      </c>
      <c r="M1220" t="b">
        <v>0</v>
      </c>
      <c r="O1220" s="1">
        <v>46191.92328703704</v>
      </c>
    </row>
    <row r="1221" spans="1:15" x14ac:dyDescent="0.25">
      <c r="A1221">
        <v>837365800</v>
      </c>
      <c r="B1221" t="s">
        <v>804</v>
      </c>
      <c r="G1221">
        <v>58</v>
      </c>
      <c r="H1221" t="s">
        <v>32</v>
      </c>
      <c r="I1221">
        <v>350</v>
      </c>
      <c r="J1221">
        <v>351.5</v>
      </c>
      <c r="L1221" t="s">
        <v>12</v>
      </c>
      <c r="M1221" t="b">
        <v>0</v>
      </c>
      <c r="O1221" s="1">
        <v>46191.92328703704</v>
      </c>
    </row>
    <row r="1222" spans="1:15" x14ac:dyDescent="0.25">
      <c r="A1222">
        <v>-1992202487</v>
      </c>
      <c r="B1222" t="s">
        <v>804</v>
      </c>
      <c r="G1222">
        <v>41</v>
      </c>
      <c r="H1222" t="s">
        <v>29</v>
      </c>
      <c r="I1222">
        <v>160</v>
      </c>
      <c r="J1222">
        <v>159.9</v>
      </c>
      <c r="L1222" t="s">
        <v>12</v>
      </c>
      <c r="M1222" t="b">
        <v>0</v>
      </c>
      <c r="O1222" s="1">
        <v>46191.92328703704</v>
      </c>
    </row>
    <row r="1223" spans="1:15" x14ac:dyDescent="0.25">
      <c r="A1223">
        <v>944845462</v>
      </c>
      <c r="B1223" t="s">
        <v>804</v>
      </c>
      <c r="G1223">
        <v>35</v>
      </c>
      <c r="H1223" t="s">
        <v>36</v>
      </c>
      <c r="I1223">
        <v>20</v>
      </c>
      <c r="J1223">
        <v>20.8</v>
      </c>
      <c r="L1223" t="s">
        <v>15</v>
      </c>
      <c r="M1223" t="b">
        <v>0</v>
      </c>
      <c r="O1223" s="1">
        <v>46191.92328703704</v>
      </c>
    </row>
    <row r="1224" spans="1:15" x14ac:dyDescent="0.25">
      <c r="A1224">
        <v>288925791</v>
      </c>
      <c r="B1224" t="s">
        <v>804</v>
      </c>
      <c r="G1224">
        <v>44</v>
      </c>
      <c r="H1224" t="s">
        <v>16</v>
      </c>
      <c r="I1224">
        <v>35</v>
      </c>
      <c r="J1224">
        <v>34.6</v>
      </c>
      <c r="L1224" t="s">
        <v>15</v>
      </c>
      <c r="M1224" t="b">
        <v>0</v>
      </c>
      <c r="O1224" s="1">
        <v>46191.92328703704</v>
      </c>
    </row>
    <row r="1225" spans="1:15" x14ac:dyDescent="0.25">
      <c r="A1225">
        <v>-587835904</v>
      </c>
      <c r="B1225" t="s">
        <v>805</v>
      </c>
      <c r="C1225" t="s">
        <v>525</v>
      </c>
      <c r="D1225" t="s">
        <v>526</v>
      </c>
      <c r="E1225" t="s">
        <v>336</v>
      </c>
      <c r="F1225">
        <v>50</v>
      </c>
      <c r="K1225" s="1">
        <v>46191.948518518519</v>
      </c>
      <c r="M1225" t="b">
        <v>0</v>
      </c>
      <c r="O1225" s="1">
        <v>46191.948518518519</v>
      </c>
    </row>
    <row r="1226" spans="1:15" x14ac:dyDescent="0.25">
      <c r="A1226">
        <v>-1466884607</v>
      </c>
      <c r="B1226" t="s">
        <v>805</v>
      </c>
      <c r="G1226">
        <v>41</v>
      </c>
      <c r="H1226" t="s">
        <v>29</v>
      </c>
      <c r="I1226">
        <v>1000</v>
      </c>
      <c r="J1226">
        <v>1006.7</v>
      </c>
      <c r="L1226" t="s">
        <v>12</v>
      </c>
      <c r="M1226" t="b">
        <v>0</v>
      </c>
      <c r="O1226" s="1">
        <v>46191.948518518519</v>
      </c>
    </row>
    <row r="1227" spans="1:15" x14ac:dyDescent="0.25">
      <c r="A1227">
        <v>1035414574</v>
      </c>
      <c r="B1227" t="s">
        <v>805</v>
      </c>
      <c r="G1227">
        <v>4</v>
      </c>
      <c r="H1227" t="s">
        <v>27</v>
      </c>
      <c r="I1227">
        <v>500</v>
      </c>
      <c r="J1227">
        <v>502.8</v>
      </c>
      <c r="L1227" t="s">
        <v>12</v>
      </c>
      <c r="M1227" t="b">
        <v>0</v>
      </c>
      <c r="O1227" s="1">
        <v>46191.948518518519</v>
      </c>
    </row>
    <row r="1228" spans="1:15" x14ac:dyDescent="0.25">
      <c r="A1228">
        <v>274995223</v>
      </c>
      <c r="B1228" t="s">
        <v>806</v>
      </c>
      <c r="C1228" t="s">
        <v>790</v>
      </c>
      <c r="D1228" t="s">
        <v>386</v>
      </c>
      <c r="E1228" t="s">
        <v>340</v>
      </c>
      <c r="F1228">
        <v>120</v>
      </c>
      <c r="K1228" s="1">
        <v>46191.950300925928</v>
      </c>
      <c r="M1228" t="b">
        <v>0</v>
      </c>
      <c r="O1228" s="1">
        <v>46191.950300925928</v>
      </c>
    </row>
    <row r="1229" spans="1:15" x14ac:dyDescent="0.25">
      <c r="A1229">
        <v>-1577261556</v>
      </c>
      <c r="B1229" t="s">
        <v>806</v>
      </c>
      <c r="G1229">
        <v>41</v>
      </c>
      <c r="H1229" t="s">
        <v>29</v>
      </c>
      <c r="I1229">
        <v>1920</v>
      </c>
      <c r="J1229">
        <v>1915.1</v>
      </c>
      <c r="L1229" t="s">
        <v>12</v>
      </c>
      <c r="M1229" t="b">
        <v>0</v>
      </c>
      <c r="O1229" s="1">
        <v>46191.950300925928</v>
      </c>
    </row>
    <row r="1230" spans="1:15" x14ac:dyDescent="0.25">
      <c r="A1230">
        <v>-148686819</v>
      </c>
      <c r="B1230" t="s">
        <v>806</v>
      </c>
      <c r="G1230">
        <v>49</v>
      </c>
      <c r="H1230" t="s">
        <v>181</v>
      </c>
      <c r="I1230">
        <v>62.4</v>
      </c>
      <c r="J1230">
        <v>64.5</v>
      </c>
      <c r="L1230" t="s">
        <v>15</v>
      </c>
      <c r="M1230" t="b">
        <v>0</v>
      </c>
      <c r="O1230" s="1">
        <v>46191.950300925928</v>
      </c>
    </row>
    <row r="1231" spans="1:15" x14ac:dyDescent="0.25">
      <c r="A1231">
        <v>1272638234</v>
      </c>
      <c r="B1231" t="s">
        <v>806</v>
      </c>
      <c r="G1231">
        <v>68</v>
      </c>
      <c r="H1231" t="s">
        <v>14</v>
      </c>
      <c r="I1231">
        <v>19.2</v>
      </c>
      <c r="J1231">
        <v>19.100000000000001</v>
      </c>
      <c r="L1231" t="s">
        <v>12</v>
      </c>
      <c r="M1231" t="b">
        <v>0</v>
      </c>
      <c r="O1231" s="1">
        <v>46191.950300925928</v>
      </c>
    </row>
    <row r="1232" spans="1:15" x14ac:dyDescent="0.25">
      <c r="A1232">
        <v>-919294061</v>
      </c>
      <c r="B1232" t="s">
        <v>806</v>
      </c>
      <c r="G1232">
        <v>16</v>
      </c>
      <c r="H1232" t="s">
        <v>13</v>
      </c>
      <c r="I1232">
        <v>9.6</v>
      </c>
      <c r="J1232">
        <v>9.6999999999999993</v>
      </c>
      <c r="L1232" t="s">
        <v>15</v>
      </c>
      <c r="M1232" t="b">
        <v>0</v>
      </c>
      <c r="O1232" s="1">
        <v>46191.950300925928</v>
      </c>
    </row>
    <row r="1233" spans="1:15" x14ac:dyDescent="0.25">
      <c r="A1233">
        <v>-1564034547</v>
      </c>
      <c r="B1233" t="s">
        <v>807</v>
      </c>
      <c r="C1233" t="s">
        <v>800</v>
      </c>
      <c r="D1233" t="s">
        <v>757</v>
      </c>
      <c r="E1233" t="s">
        <v>364</v>
      </c>
      <c r="F1233">
        <v>120</v>
      </c>
      <c r="K1233" s="1">
        <v>46192.012106481481</v>
      </c>
      <c r="M1233" t="b">
        <v>0</v>
      </c>
      <c r="O1233" s="1">
        <v>46192.012106481481</v>
      </c>
    </row>
    <row r="1234" spans="1:15" x14ac:dyDescent="0.25">
      <c r="A1234">
        <v>710304330</v>
      </c>
      <c r="B1234" t="s">
        <v>807</v>
      </c>
      <c r="G1234">
        <v>41</v>
      </c>
      <c r="H1234" t="s">
        <v>29</v>
      </c>
      <c r="I1234">
        <v>1497.6</v>
      </c>
      <c r="J1234">
        <v>1498.9</v>
      </c>
      <c r="L1234" t="s">
        <v>12</v>
      </c>
      <c r="M1234" t="b">
        <v>0</v>
      </c>
      <c r="O1234" s="1">
        <v>46192.012106481481</v>
      </c>
    </row>
    <row r="1235" spans="1:15" x14ac:dyDescent="0.25">
      <c r="A1235">
        <v>-1375878397</v>
      </c>
      <c r="B1235" t="s">
        <v>807</v>
      </c>
      <c r="G1235">
        <v>35</v>
      </c>
      <c r="H1235" t="s">
        <v>36</v>
      </c>
      <c r="I1235">
        <v>109.2</v>
      </c>
      <c r="J1235">
        <v>108.5</v>
      </c>
      <c r="L1235" t="s">
        <v>12</v>
      </c>
      <c r="M1235" t="b">
        <v>0</v>
      </c>
      <c r="O1235" s="1">
        <v>46192.012106481481</v>
      </c>
    </row>
    <row r="1236" spans="1:15" x14ac:dyDescent="0.25">
      <c r="A1236">
        <v>-2070939256</v>
      </c>
      <c r="B1236" t="s">
        <v>807</v>
      </c>
      <c r="G1236">
        <v>44</v>
      </c>
      <c r="H1236" t="s">
        <v>16</v>
      </c>
      <c r="I1236">
        <v>115.2</v>
      </c>
      <c r="J1236">
        <v>114.8</v>
      </c>
      <c r="L1236" t="s">
        <v>12</v>
      </c>
      <c r="M1236" t="b">
        <v>0</v>
      </c>
      <c r="O1236" s="1">
        <v>46192.012106481481</v>
      </c>
    </row>
    <row r="1237" spans="1:15" x14ac:dyDescent="0.25">
      <c r="A1237">
        <v>1714872289</v>
      </c>
      <c r="B1237" t="s">
        <v>808</v>
      </c>
      <c r="C1237" t="s">
        <v>566</v>
      </c>
      <c r="D1237" t="s">
        <v>567</v>
      </c>
      <c r="E1237" t="s">
        <v>336</v>
      </c>
      <c r="F1237">
        <v>450</v>
      </c>
      <c r="K1237" s="1">
        <v>46192.044178240743</v>
      </c>
      <c r="M1237" t="b">
        <v>0</v>
      </c>
      <c r="O1237" s="1">
        <v>46192.044178240743</v>
      </c>
    </row>
    <row r="1238" spans="1:15" x14ac:dyDescent="0.25">
      <c r="A1238">
        <v>-1744207730</v>
      </c>
      <c r="B1238" t="s">
        <v>808</v>
      </c>
      <c r="G1238">
        <v>41</v>
      </c>
      <c r="H1238" t="s">
        <v>29</v>
      </c>
      <c r="I1238">
        <v>5805</v>
      </c>
      <c r="J1238">
        <v>5845.7</v>
      </c>
      <c r="L1238" t="s">
        <v>12</v>
      </c>
      <c r="M1238" t="b">
        <v>0</v>
      </c>
      <c r="O1238" s="1">
        <v>46192.044178240743</v>
      </c>
    </row>
    <row r="1239" spans="1:15" x14ac:dyDescent="0.25">
      <c r="A1239">
        <v>548089079</v>
      </c>
      <c r="B1239" t="s">
        <v>808</v>
      </c>
      <c r="G1239">
        <v>35</v>
      </c>
      <c r="H1239" t="s">
        <v>36</v>
      </c>
      <c r="I1239">
        <v>450</v>
      </c>
      <c r="J1239">
        <v>453.5</v>
      </c>
      <c r="L1239" t="s">
        <v>12</v>
      </c>
      <c r="M1239" t="b">
        <v>0</v>
      </c>
      <c r="O1239" s="1">
        <v>46192.044178240743</v>
      </c>
    </row>
    <row r="1240" spans="1:15" x14ac:dyDescent="0.25">
      <c r="A1240">
        <v>859623788</v>
      </c>
      <c r="B1240" t="s">
        <v>808</v>
      </c>
      <c r="G1240">
        <v>44</v>
      </c>
      <c r="H1240" t="s">
        <v>16</v>
      </c>
      <c r="I1240">
        <v>149.85</v>
      </c>
      <c r="J1240">
        <v>150.6</v>
      </c>
      <c r="L1240" t="s">
        <v>12</v>
      </c>
      <c r="M1240" t="b">
        <v>0</v>
      </c>
      <c r="O1240" s="1">
        <v>46192.044178240743</v>
      </c>
    </row>
    <row r="1241" spans="1:15" x14ac:dyDescent="0.25">
      <c r="A1241">
        <v>-455616515</v>
      </c>
      <c r="B1241" t="s">
        <v>483</v>
      </c>
      <c r="C1241" t="s">
        <v>650</v>
      </c>
      <c r="D1241" t="s">
        <v>383</v>
      </c>
      <c r="E1241" t="s">
        <v>336</v>
      </c>
      <c r="F1241">
        <v>50</v>
      </c>
      <c r="K1241" s="1">
        <v>46192.066979166666</v>
      </c>
      <c r="M1241" t="b">
        <v>0</v>
      </c>
      <c r="O1241" s="1">
        <v>46192.066979166666</v>
      </c>
    </row>
    <row r="1242" spans="1:15" x14ac:dyDescent="0.25">
      <c r="A1242">
        <v>-197245574</v>
      </c>
      <c r="B1242" t="s">
        <v>483</v>
      </c>
      <c r="G1242">
        <v>58</v>
      </c>
      <c r="H1242" t="s">
        <v>32</v>
      </c>
      <c r="I1242">
        <v>900</v>
      </c>
      <c r="J1242">
        <v>906.5</v>
      </c>
      <c r="L1242" t="s">
        <v>12</v>
      </c>
      <c r="M1242" t="b">
        <v>0</v>
      </c>
      <c r="O1242" s="1">
        <v>46192.066979166666</v>
      </c>
    </row>
    <row r="1243" spans="1:15" x14ac:dyDescent="0.25">
      <c r="A1243">
        <v>1574818419</v>
      </c>
      <c r="B1243" t="s">
        <v>483</v>
      </c>
      <c r="G1243">
        <v>41</v>
      </c>
      <c r="H1243" t="s">
        <v>29</v>
      </c>
      <c r="I1243">
        <v>288</v>
      </c>
      <c r="J1243">
        <v>287.2</v>
      </c>
      <c r="L1243" t="s">
        <v>12</v>
      </c>
      <c r="M1243" t="b">
        <v>0</v>
      </c>
      <c r="O1243" s="1">
        <v>46192.066979166666</v>
      </c>
    </row>
    <row r="1244" spans="1:15" x14ac:dyDescent="0.25">
      <c r="A1244">
        <v>1758548024</v>
      </c>
      <c r="B1244" t="s">
        <v>483</v>
      </c>
      <c r="G1244">
        <v>35</v>
      </c>
      <c r="H1244" t="s">
        <v>36</v>
      </c>
      <c r="I1244">
        <v>273.5</v>
      </c>
      <c r="J1244">
        <v>273</v>
      </c>
      <c r="L1244" t="s">
        <v>12</v>
      </c>
      <c r="M1244" t="b">
        <v>0</v>
      </c>
      <c r="O1244" s="1">
        <v>46192.066979166666</v>
      </c>
    </row>
    <row r="1245" spans="1:15" x14ac:dyDescent="0.25">
      <c r="A1245">
        <v>1893558745</v>
      </c>
      <c r="B1245" t="s">
        <v>483</v>
      </c>
      <c r="G1245">
        <v>44</v>
      </c>
      <c r="H1245" t="s">
        <v>16</v>
      </c>
      <c r="I1245">
        <v>35.4</v>
      </c>
      <c r="J1245">
        <v>36.1</v>
      </c>
      <c r="L1245" t="s">
        <v>15</v>
      </c>
      <c r="M1245" t="b">
        <v>0</v>
      </c>
      <c r="O1245" s="1">
        <v>46192.066979166666</v>
      </c>
    </row>
    <row r="1246" spans="1:15" x14ac:dyDescent="0.25">
      <c r="A1246">
        <v>805591397</v>
      </c>
      <c r="B1246" t="s">
        <v>809</v>
      </c>
      <c r="C1246" t="s">
        <v>810</v>
      </c>
      <c r="D1246" t="s">
        <v>482</v>
      </c>
      <c r="E1246" t="s">
        <v>313</v>
      </c>
      <c r="F1246">
        <v>250</v>
      </c>
      <c r="K1246" s="1">
        <v>46192.13140046296</v>
      </c>
      <c r="M1246" t="b">
        <v>0</v>
      </c>
      <c r="O1246" s="1">
        <v>46192.13140046296</v>
      </c>
    </row>
    <row r="1247" spans="1:15" x14ac:dyDescent="0.25">
      <c r="A1247">
        <v>2035578050</v>
      </c>
      <c r="B1247" t="s">
        <v>809</v>
      </c>
      <c r="G1247">
        <v>41</v>
      </c>
      <c r="H1247" t="s">
        <v>29</v>
      </c>
      <c r="I1247">
        <v>900</v>
      </c>
      <c r="J1247">
        <v>905.4</v>
      </c>
      <c r="L1247" t="s">
        <v>12</v>
      </c>
      <c r="M1247" t="b">
        <v>0</v>
      </c>
      <c r="O1247" s="1">
        <v>46192.13140046296</v>
      </c>
    </row>
    <row r="1248" spans="1:15" x14ac:dyDescent="0.25">
      <c r="A1248">
        <v>457101851</v>
      </c>
      <c r="B1248" t="s">
        <v>809</v>
      </c>
      <c r="G1248">
        <v>35</v>
      </c>
      <c r="H1248" t="s">
        <v>36</v>
      </c>
      <c r="I1248">
        <v>287.5</v>
      </c>
      <c r="J1248">
        <v>286.89999999999998</v>
      </c>
      <c r="L1248" t="s">
        <v>12</v>
      </c>
      <c r="M1248" t="b">
        <v>0</v>
      </c>
      <c r="O1248" s="1">
        <v>46192.13140046296</v>
      </c>
    </row>
    <row r="1249" spans="1:15" x14ac:dyDescent="0.25">
      <c r="A1249">
        <v>2056204480</v>
      </c>
      <c r="B1249" t="s">
        <v>809</v>
      </c>
      <c r="G1249">
        <v>44</v>
      </c>
      <c r="H1249" t="s">
        <v>16</v>
      </c>
      <c r="I1249">
        <v>62.5</v>
      </c>
      <c r="J1249">
        <v>61.7</v>
      </c>
      <c r="L1249" t="s">
        <v>15</v>
      </c>
      <c r="M1249" t="b">
        <v>0</v>
      </c>
      <c r="O1249" s="1">
        <v>46192.13140046296</v>
      </c>
    </row>
    <row r="1250" spans="1:15" x14ac:dyDescent="0.25">
      <c r="A1250">
        <v>-1594355263</v>
      </c>
      <c r="B1250" t="s">
        <v>811</v>
      </c>
      <c r="C1250" t="s">
        <v>612</v>
      </c>
      <c r="D1250" t="s">
        <v>613</v>
      </c>
      <c r="E1250" t="s">
        <v>313</v>
      </c>
      <c r="F1250">
        <v>50</v>
      </c>
      <c r="K1250" s="1">
        <v>46192.134328703702</v>
      </c>
      <c r="M1250" t="b">
        <v>0</v>
      </c>
      <c r="O1250" s="1">
        <v>46192.134328703702</v>
      </c>
    </row>
    <row r="1251" spans="1:15" x14ac:dyDescent="0.25">
      <c r="A1251">
        <v>-1764850450</v>
      </c>
      <c r="B1251" t="s">
        <v>811</v>
      </c>
      <c r="G1251">
        <v>41</v>
      </c>
      <c r="H1251" t="s">
        <v>29</v>
      </c>
      <c r="I1251">
        <v>334.5</v>
      </c>
      <c r="J1251">
        <v>335.4</v>
      </c>
      <c r="L1251" t="s">
        <v>12</v>
      </c>
      <c r="M1251" t="b">
        <v>0</v>
      </c>
      <c r="O1251" s="1">
        <v>46192.134328703702</v>
      </c>
    </row>
    <row r="1252" spans="1:15" x14ac:dyDescent="0.25">
      <c r="A1252">
        <v>591081943</v>
      </c>
      <c r="B1252" t="s">
        <v>811</v>
      </c>
      <c r="G1252">
        <v>35</v>
      </c>
      <c r="H1252" t="s">
        <v>36</v>
      </c>
      <c r="I1252">
        <v>30.35</v>
      </c>
      <c r="J1252">
        <v>30.7</v>
      </c>
      <c r="L1252" t="s">
        <v>15</v>
      </c>
      <c r="M1252" t="b">
        <v>0</v>
      </c>
      <c r="O1252" s="1">
        <v>46192.134328703702</v>
      </c>
    </row>
    <row r="1253" spans="1:15" x14ac:dyDescent="0.25">
      <c r="A1253">
        <v>-487658292</v>
      </c>
      <c r="B1253" t="s">
        <v>811</v>
      </c>
      <c r="G1253">
        <v>11</v>
      </c>
      <c r="H1253" t="s">
        <v>33</v>
      </c>
      <c r="I1253">
        <v>18.3</v>
      </c>
      <c r="J1253">
        <v>18.2</v>
      </c>
      <c r="L1253" t="s">
        <v>12</v>
      </c>
      <c r="M1253" t="b">
        <v>0</v>
      </c>
      <c r="O1253" s="1">
        <v>46192.134328703702</v>
      </c>
    </row>
    <row r="1254" spans="1:15" x14ac:dyDescent="0.25">
      <c r="A1254">
        <v>-264371834</v>
      </c>
      <c r="B1254" t="s">
        <v>812</v>
      </c>
      <c r="C1254" t="s">
        <v>813</v>
      </c>
      <c r="D1254" t="s">
        <v>225</v>
      </c>
      <c r="E1254" t="s">
        <v>313</v>
      </c>
      <c r="F1254">
        <v>250</v>
      </c>
      <c r="K1254" s="1">
        <v>46192.279143518521</v>
      </c>
      <c r="M1254" t="b">
        <v>0</v>
      </c>
      <c r="O1254" s="1">
        <v>46192.279143518521</v>
      </c>
    </row>
    <row r="1255" spans="1:15" x14ac:dyDescent="0.25">
      <c r="A1255">
        <v>868526223</v>
      </c>
      <c r="B1255" t="s">
        <v>812</v>
      </c>
      <c r="G1255">
        <v>41</v>
      </c>
      <c r="H1255" t="s">
        <v>29</v>
      </c>
      <c r="I1255">
        <v>3000</v>
      </c>
      <c r="J1255">
        <v>3002.1</v>
      </c>
      <c r="L1255" t="s">
        <v>12</v>
      </c>
      <c r="M1255" t="b">
        <v>0</v>
      </c>
      <c r="O1255" s="1">
        <v>46192.279143518521</v>
      </c>
    </row>
    <row r="1256" spans="1:15" x14ac:dyDescent="0.25">
      <c r="A1256">
        <v>1640110884</v>
      </c>
      <c r="B1256" t="s">
        <v>812</v>
      </c>
      <c r="G1256">
        <v>35</v>
      </c>
      <c r="H1256" t="s">
        <v>36</v>
      </c>
      <c r="I1256">
        <v>375</v>
      </c>
      <c r="J1256">
        <v>378.8</v>
      </c>
      <c r="L1256" t="s">
        <v>15</v>
      </c>
      <c r="M1256" t="b">
        <v>0</v>
      </c>
      <c r="O1256" s="1">
        <v>46192.279143518521</v>
      </c>
    </row>
    <row r="1257" spans="1:15" x14ac:dyDescent="0.25">
      <c r="A1257">
        <v>-1467933355</v>
      </c>
      <c r="B1257" t="s">
        <v>812</v>
      </c>
      <c r="G1257">
        <v>16</v>
      </c>
      <c r="H1257" t="s">
        <v>13</v>
      </c>
      <c r="I1257">
        <v>82.5</v>
      </c>
      <c r="J1257">
        <v>82.6</v>
      </c>
      <c r="L1257" t="s">
        <v>12</v>
      </c>
      <c r="M1257" t="b">
        <v>0</v>
      </c>
      <c r="O1257" s="1">
        <v>46192.279143518521</v>
      </c>
    </row>
    <row r="1258" spans="1:15" x14ac:dyDescent="0.25">
      <c r="A1258">
        <v>-11864181</v>
      </c>
      <c r="B1258" t="s">
        <v>814</v>
      </c>
      <c r="C1258" t="s">
        <v>518</v>
      </c>
      <c r="D1258" t="s">
        <v>220</v>
      </c>
      <c r="E1258" t="s">
        <v>313</v>
      </c>
      <c r="F1258">
        <v>120</v>
      </c>
      <c r="K1258" s="1">
        <v>46192.284826388888</v>
      </c>
      <c r="M1258" t="b">
        <v>0</v>
      </c>
      <c r="O1258" s="1">
        <v>46192.284826388888</v>
      </c>
    </row>
    <row r="1259" spans="1:15" x14ac:dyDescent="0.25">
      <c r="A1259">
        <v>-1504418448</v>
      </c>
      <c r="B1259" t="s">
        <v>814</v>
      </c>
      <c r="G1259">
        <v>41</v>
      </c>
      <c r="H1259" t="s">
        <v>29</v>
      </c>
      <c r="I1259">
        <v>1680</v>
      </c>
      <c r="J1259">
        <v>1664.2</v>
      </c>
      <c r="L1259" t="s">
        <v>12</v>
      </c>
      <c r="M1259" t="b">
        <v>0</v>
      </c>
      <c r="O1259" s="1">
        <v>46192.284826388888</v>
      </c>
    </row>
    <row r="1260" spans="1:15" x14ac:dyDescent="0.25">
      <c r="A1260">
        <v>1006138545</v>
      </c>
      <c r="B1260" t="s">
        <v>814</v>
      </c>
      <c r="G1260">
        <v>58</v>
      </c>
      <c r="H1260" t="s">
        <v>32</v>
      </c>
      <c r="I1260">
        <v>1680</v>
      </c>
      <c r="J1260">
        <v>1689.1</v>
      </c>
      <c r="L1260" t="s">
        <v>12</v>
      </c>
      <c r="M1260" t="b">
        <v>0</v>
      </c>
      <c r="O1260" s="1">
        <v>46192.284826388888</v>
      </c>
    </row>
    <row r="1261" spans="1:15" x14ac:dyDescent="0.25">
      <c r="A1261">
        <v>985893150</v>
      </c>
      <c r="B1261" t="s">
        <v>814</v>
      </c>
      <c r="G1261">
        <v>35</v>
      </c>
      <c r="H1261" t="s">
        <v>36</v>
      </c>
      <c r="I1261">
        <v>132</v>
      </c>
      <c r="J1261">
        <v>132</v>
      </c>
      <c r="L1261" t="s">
        <v>12</v>
      </c>
      <c r="M1261" t="b">
        <v>0</v>
      </c>
      <c r="O1261" s="1">
        <v>46192.284826388888</v>
      </c>
    </row>
    <row r="1262" spans="1:15" x14ac:dyDescent="0.25">
      <c r="A1262">
        <v>856690247</v>
      </c>
      <c r="B1262" t="s">
        <v>814</v>
      </c>
      <c r="G1262">
        <v>44</v>
      </c>
      <c r="H1262" t="s">
        <v>16</v>
      </c>
      <c r="I1262">
        <v>104.4</v>
      </c>
      <c r="J1262">
        <v>103.8</v>
      </c>
      <c r="L1262" t="s">
        <v>12</v>
      </c>
      <c r="M1262" t="b">
        <v>0</v>
      </c>
      <c r="O1262" s="1">
        <v>46192.284826388888</v>
      </c>
    </row>
    <row r="1263" spans="1:15" x14ac:dyDescent="0.25">
      <c r="A1263">
        <v>1727717588</v>
      </c>
      <c r="B1263" t="s">
        <v>815</v>
      </c>
      <c r="C1263" t="s">
        <v>800</v>
      </c>
      <c r="D1263" t="s">
        <v>816</v>
      </c>
      <c r="E1263" t="s">
        <v>364</v>
      </c>
      <c r="F1263">
        <v>50</v>
      </c>
      <c r="K1263" s="1">
        <v>46192.301678240743</v>
      </c>
      <c r="M1263" t="b">
        <v>0</v>
      </c>
      <c r="O1263" s="1">
        <v>46192.301678240743</v>
      </c>
    </row>
    <row r="1264" spans="1:15" x14ac:dyDescent="0.25">
      <c r="A1264">
        <v>-1860698811</v>
      </c>
      <c r="B1264" t="s">
        <v>815</v>
      </c>
      <c r="G1264">
        <v>41</v>
      </c>
      <c r="H1264" t="s">
        <v>29</v>
      </c>
      <c r="I1264">
        <v>483</v>
      </c>
      <c r="J1264">
        <v>481.2</v>
      </c>
      <c r="L1264" t="s">
        <v>12</v>
      </c>
      <c r="M1264" t="b">
        <v>0</v>
      </c>
      <c r="O1264" s="1">
        <v>46192.301678240743</v>
      </c>
    </row>
    <row r="1265" spans="1:15" x14ac:dyDescent="0.25">
      <c r="A1265">
        <v>-956071134</v>
      </c>
      <c r="B1265" t="s">
        <v>815</v>
      </c>
      <c r="G1265">
        <v>44</v>
      </c>
      <c r="H1265" t="s">
        <v>16</v>
      </c>
      <c r="I1265">
        <v>63</v>
      </c>
      <c r="J1265">
        <v>62.2</v>
      </c>
      <c r="L1265" t="s">
        <v>15</v>
      </c>
      <c r="M1265" t="b">
        <v>0</v>
      </c>
      <c r="O1265" s="1">
        <v>46192.301678240743</v>
      </c>
    </row>
    <row r="1266" spans="1:15" x14ac:dyDescent="0.25">
      <c r="A1266">
        <v>-1041327877</v>
      </c>
      <c r="B1266" t="s">
        <v>815</v>
      </c>
      <c r="G1266">
        <v>4</v>
      </c>
      <c r="H1266" t="s">
        <v>27</v>
      </c>
      <c r="I1266">
        <v>90</v>
      </c>
      <c r="J1266">
        <v>89.8</v>
      </c>
      <c r="L1266" t="s">
        <v>12</v>
      </c>
      <c r="M1266" t="b">
        <v>0</v>
      </c>
      <c r="O1266" s="1">
        <v>46192.301678240743</v>
      </c>
    </row>
    <row r="1267" spans="1:15" x14ac:dyDescent="0.25">
      <c r="A1267">
        <v>203580960</v>
      </c>
      <c r="B1267" t="s">
        <v>815</v>
      </c>
      <c r="G1267">
        <v>68</v>
      </c>
      <c r="H1267" t="s">
        <v>14</v>
      </c>
      <c r="I1267">
        <v>14</v>
      </c>
      <c r="J1267">
        <v>14.3</v>
      </c>
      <c r="L1267" t="s">
        <v>15</v>
      </c>
      <c r="M1267" t="b">
        <v>0</v>
      </c>
      <c r="O1267" s="1">
        <v>46192.301678240743</v>
      </c>
    </row>
    <row r="1268" spans="1:15" x14ac:dyDescent="0.25">
      <c r="A1268">
        <v>419963366</v>
      </c>
      <c r="B1268" t="s">
        <v>817</v>
      </c>
      <c r="C1268" t="s">
        <v>813</v>
      </c>
      <c r="D1268" t="s">
        <v>225</v>
      </c>
      <c r="E1268" t="s">
        <v>313</v>
      </c>
      <c r="F1268">
        <v>250</v>
      </c>
      <c r="K1268" s="1">
        <v>46192.341944444444</v>
      </c>
      <c r="M1268" t="b">
        <v>0</v>
      </c>
      <c r="O1268" s="1">
        <v>46192.341944444444</v>
      </c>
    </row>
    <row r="1269" spans="1:15" x14ac:dyDescent="0.25">
      <c r="A1269">
        <v>811768175</v>
      </c>
      <c r="B1269" t="s">
        <v>817</v>
      </c>
      <c r="G1269">
        <v>41</v>
      </c>
      <c r="H1269" t="s">
        <v>29</v>
      </c>
      <c r="I1269">
        <v>3000</v>
      </c>
      <c r="J1269">
        <v>3005.3</v>
      </c>
      <c r="L1269" t="s">
        <v>12</v>
      </c>
      <c r="M1269" t="b">
        <v>0</v>
      </c>
      <c r="O1269" s="1">
        <v>46192.341944444444</v>
      </c>
    </row>
    <row r="1270" spans="1:15" x14ac:dyDescent="0.25">
      <c r="A1270">
        <v>-2014399868</v>
      </c>
      <c r="B1270" t="s">
        <v>817</v>
      </c>
      <c r="G1270">
        <v>35</v>
      </c>
      <c r="H1270" t="s">
        <v>36</v>
      </c>
      <c r="I1270">
        <v>350</v>
      </c>
      <c r="J1270">
        <v>353.5</v>
      </c>
      <c r="L1270" t="s">
        <v>12</v>
      </c>
      <c r="M1270" t="b">
        <v>0</v>
      </c>
      <c r="O1270" s="1">
        <v>46192.341944444444</v>
      </c>
    </row>
    <row r="1271" spans="1:15" x14ac:dyDescent="0.25">
      <c r="A1271">
        <v>1717041461</v>
      </c>
      <c r="B1271" t="s">
        <v>817</v>
      </c>
      <c r="G1271">
        <v>16</v>
      </c>
      <c r="H1271" t="s">
        <v>13</v>
      </c>
      <c r="I1271">
        <v>50</v>
      </c>
      <c r="J1271">
        <v>50.3</v>
      </c>
      <c r="L1271" t="s">
        <v>12</v>
      </c>
      <c r="M1271" t="b">
        <v>0</v>
      </c>
      <c r="O1271" s="1">
        <v>46192.341944444444</v>
      </c>
    </row>
    <row r="1272" spans="1:15" x14ac:dyDescent="0.25">
      <c r="A1272">
        <v>1581296607</v>
      </c>
      <c r="B1272" t="s">
        <v>818</v>
      </c>
      <c r="C1272" t="s">
        <v>800</v>
      </c>
      <c r="D1272" t="s">
        <v>816</v>
      </c>
      <c r="E1272" t="s">
        <v>364</v>
      </c>
      <c r="F1272">
        <v>120</v>
      </c>
      <c r="K1272" s="1">
        <v>46192.372916666667</v>
      </c>
      <c r="M1272" t="b">
        <v>0</v>
      </c>
      <c r="O1272" s="1">
        <v>46192.372916666667</v>
      </c>
    </row>
    <row r="1273" spans="1:15" x14ac:dyDescent="0.25">
      <c r="A1273">
        <v>-2004316108</v>
      </c>
      <c r="B1273" t="s">
        <v>818</v>
      </c>
      <c r="G1273">
        <v>41</v>
      </c>
      <c r="H1273" t="s">
        <v>29</v>
      </c>
      <c r="I1273">
        <v>1200</v>
      </c>
      <c r="J1273">
        <v>1200.2</v>
      </c>
      <c r="L1273" t="s">
        <v>12</v>
      </c>
      <c r="M1273" t="b">
        <v>0</v>
      </c>
      <c r="O1273" s="1">
        <v>46192.372916666667</v>
      </c>
    </row>
    <row r="1274" spans="1:15" x14ac:dyDescent="0.25">
      <c r="A1274">
        <v>-1164963547</v>
      </c>
      <c r="B1274" t="s">
        <v>818</v>
      </c>
      <c r="G1274">
        <v>44</v>
      </c>
      <c r="H1274" t="s">
        <v>16</v>
      </c>
      <c r="I1274">
        <v>151.19999999999999</v>
      </c>
      <c r="J1274">
        <v>151.6</v>
      </c>
      <c r="L1274" t="s">
        <v>12</v>
      </c>
      <c r="M1274" t="b">
        <v>0</v>
      </c>
      <c r="O1274" s="1">
        <v>46192.372916666667</v>
      </c>
    </row>
    <row r="1275" spans="1:15" x14ac:dyDescent="0.25">
      <c r="A1275">
        <v>-1963310718</v>
      </c>
      <c r="B1275" t="s">
        <v>818</v>
      </c>
      <c r="G1275">
        <v>4</v>
      </c>
      <c r="H1275" t="s">
        <v>27</v>
      </c>
      <c r="I1275">
        <v>216</v>
      </c>
      <c r="J1275">
        <v>214.2</v>
      </c>
      <c r="L1275" t="s">
        <v>12</v>
      </c>
      <c r="M1275" t="b">
        <v>0</v>
      </c>
      <c r="O1275" s="1">
        <v>46192.372916666667</v>
      </c>
    </row>
    <row r="1276" spans="1:15" x14ac:dyDescent="0.25">
      <c r="A1276">
        <v>-1688711205</v>
      </c>
      <c r="B1276" t="s">
        <v>818</v>
      </c>
      <c r="G1276">
        <v>68</v>
      </c>
      <c r="H1276" t="s">
        <v>14</v>
      </c>
      <c r="I1276">
        <v>33.6</v>
      </c>
      <c r="J1276">
        <v>33.700000000000003</v>
      </c>
      <c r="L1276" t="s">
        <v>12</v>
      </c>
      <c r="M1276" t="b">
        <v>0</v>
      </c>
      <c r="O1276" s="1">
        <v>46192.372916666667</v>
      </c>
    </row>
    <row r="1277" spans="1:15" x14ac:dyDescent="0.25">
      <c r="A1277">
        <v>-1188158599</v>
      </c>
      <c r="B1277" t="s">
        <v>819</v>
      </c>
      <c r="C1277" t="s">
        <v>518</v>
      </c>
      <c r="D1277" t="s">
        <v>220</v>
      </c>
      <c r="E1277" t="s">
        <v>313</v>
      </c>
      <c r="F1277">
        <v>120</v>
      </c>
      <c r="K1277" s="1">
        <v>46192.445486111108</v>
      </c>
      <c r="M1277" t="b">
        <v>0</v>
      </c>
      <c r="O1277" s="1">
        <v>46192.445486111108</v>
      </c>
    </row>
    <row r="1278" spans="1:15" x14ac:dyDescent="0.25">
      <c r="A1278">
        <v>1111159366</v>
      </c>
      <c r="B1278" t="s">
        <v>819</v>
      </c>
      <c r="G1278">
        <v>41</v>
      </c>
      <c r="H1278" t="s">
        <v>29</v>
      </c>
      <c r="I1278">
        <v>1680</v>
      </c>
      <c r="J1278">
        <v>1687.8</v>
      </c>
      <c r="L1278" t="s">
        <v>12</v>
      </c>
      <c r="M1278" t="b">
        <v>0</v>
      </c>
      <c r="O1278" s="1">
        <v>46192.445486111108</v>
      </c>
    </row>
    <row r="1279" spans="1:15" x14ac:dyDescent="0.25">
      <c r="A1279">
        <v>1300724303</v>
      </c>
      <c r="B1279" t="s">
        <v>819</v>
      </c>
      <c r="G1279">
        <v>58</v>
      </c>
      <c r="H1279" t="s">
        <v>32</v>
      </c>
      <c r="I1279">
        <v>1680</v>
      </c>
      <c r="J1279">
        <v>1688</v>
      </c>
      <c r="L1279" t="s">
        <v>12</v>
      </c>
      <c r="M1279" t="b">
        <v>0</v>
      </c>
      <c r="O1279" s="1">
        <v>46192.445486111108</v>
      </c>
    </row>
    <row r="1280" spans="1:15" x14ac:dyDescent="0.25">
      <c r="A1280">
        <v>-1586267676</v>
      </c>
      <c r="B1280" t="s">
        <v>819</v>
      </c>
      <c r="G1280">
        <v>35</v>
      </c>
      <c r="H1280" t="s">
        <v>36</v>
      </c>
      <c r="I1280">
        <v>132</v>
      </c>
      <c r="J1280">
        <v>133</v>
      </c>
      <c r="L1280" t="s">
        <v>12</v>
      </c>
      <c r="M1280" t="b">
        <v>0</v>
      </c>
      <c r="O1280" s="1">
        <v>46192.445486111108</v>
      </c>
    </row>
    <row r="1281" spans="1:15" x14ac:dyDescent="0.25">
      <c r="A1281">
        <v>634340629</v>
      </c>
      <c r="B1281" t="s">
        <v>819</v>
      </c>
      <c r="G1281">
        <v>44</v>
      </c>
      <c r="H1281" t="s">
        <v>16</v>
      </c>
      <c r="I1281">
        <v>104.4</v>
      </c>
      <c r="J1281">
        <v>104.8</v>
      </c>
      <c r="L1281" t="s">
        <v>12</v>
      </c>
      <c r="M1281" t="b">
        <v>0</v>
      </c>
      <c r="O1281" s="1">
        <v>46192.445486111108</v>
      </c>
    </row>
    <row r="1282" spans="1:15" x14ac:dyDescent="0.25">
      <c r="A1282">
        <v>526289765</v>
      </c>
      <c r="B1282" t="s">
        <v>820</v>
      </c>
      <c r="C1282" t="s">
        <v>402</v>
      </c>
      <c r="D1282" t="s">
        <v>403</v>
      </c>
      <c r="E1282" t="s">
        <v>364</v>
      </c>
      <c r="F1282">
        <v>50</v>
      </c>
      <c r="K1282" s="1">
        <v>46202.492951388886</v>
      </c>
      <c r="M1282" t="b">
        <v>0</v>
      </c>
      <c r="O1282" s="1">
        <v>46202.492951388886</v>
      </c>
    </row>
    <row r="1283" spans="1:15" x14ac:dyDescent="0.25">
      <c r="A1283">
        <v>354107074</v>
      </c>
      <c r="B1283" t="s">
        <v>820</v>
      </c>
      <c r="G1283">
        <v>41</v>
      </c>
      <c r="H1283" t="s">
        <v>29</v>
      </c>
      <c r="I1283">
        <v>220</v>
      </c>
      <c r="J1283">
        <v>220.44</v>
      </c>
      <c r="L1283" t="s">
        <v>12</v>
      </c>
      <c r="M1283" t="b">
        <v>0</v>
      </c>
      <c r="O1283" s="1">
        <v>46202.492951388886</v>
      </c>
    </row>
    <row r="1284" spans="1:15" x14ac:dyDescent="0.25">
      <c r="A1284">
        <v>-1767091173</v>
      </c>
      <c r="B1284" t="s">
        <v>820</v>
      </c>
      <c r="G1284">
        <v>59</v>
      </c>
      <c r="H1284" t="s">
        <v>31</v>
      </c>
      <c r="I1284">
        <v>20</v>
      </c>
      <c r="J1284">
        <v>19.989999999999998</v>
      </c>
      <c r="L1284" t="s">
        <v>12</v>
      </c>
      <c r="M1284" t="b">
        <v>0</v>
      </c>
      <c r="O1284" s="1">
        <v>46202.492951388886</v>
      </c>
    </row>
    <row r="1285" spans="1:15" x14ac:dyDescent="0.25">
      <c r="A1285">
        <v>261819072</v>
      </c>
      <c r="B1285" t="s">
        <v>820</v>
      </c>
      <c r="G1285">
        <v>35</v>
      </c>
      <c r="H1285" t="s">
        <v>36</v>
      </c>
      <c r="I1285">
        <v>21</v>
      </c>
      <c r="J1285">
        <v>21.1</v>
      </c>
      <c r="L1285" t="s">
        <v>12</v>
      </c>
      <c r="M1285" t="b">
        <v>0</v>
      </c>
      <c r="O1285" s="1">
        <v>46202.492951388886</v>
      </c>
    </row>
    <row r="1286" spans="1:15" x14ac:dyDescent="0.25">
      <c r="A1286">
        <v>-102145087</v>
      </c>
      <c r="B1286" t="s">
        <v>820</v>
      </c>
      <c r="G1286">
        <v>44</v>
      </c>
      <c r="H1286" t="s">
        <v>16</v>
      </c>
      <c r="I1286">
        <v>11</v>
      </c>
      <c r="J1286">
        <v>11.01</v>
      </c>
      <c r="L1286" t="s">
        <v>12</v>
      </c>
      <c r="M1286" t="b">
        <v>0</v>
      </c>
      <c r="O1286" s="1">
        <v>46202.492951388886</v>
      </c>
    </row>
    <row r="1287" spans="1:15" x14ac:dyDescent="0.25">
      <c r="A1287">
        <v>-1085231134</v>
      </c>
      <c r="B1287" t="s">
        <v>821</v>
      </c>
      <c r="C1287" t="s">
        <v>668</v>
      </c>
      <c r="D1287" t="s">
        <v>669</v>
      </c>
      <c r="E1287" t="s">
        <v>340</v>
      </c>
      <c r="F1287">
        <v>50</v>
      </c>
      <c r="K1287" s="1">
        <v>46192.520567129628</v>
      </c>
      <c r="M1287" t="b">
        <v>0</v>
      </c>
      <c r="O1287" s="1">
        <v>46192.520567129628</v>
      </c>
    </row>
    <row r="1288" spans="1:15" x14ac:dyDescent="0.25">
      <c r="A1288">
        <v>766768827</v>
      </c>
      <c r="B1288" t="s">
        <v>821</v>
      </c>
      <c r="G1288">
        <v>41</v>
      </c>
      <c r="H1288" t="s">
        <v>29</v>
      </c>
      <c r="I1288">
        <v>1000</v>
      </c>
      <c r="J1288">
        <v>1006.5</v>
      </c>
      <c r="L1288" t="s">
        <v>12</v>
      </c>
      <c r="M1288" t="b">
        <v>0</v>
      </c>
      <c r="O1288" s="1">
        <v>46192.520567129628</v>
      </c>
    </row>
    <row r="1289" spans="1:15" x14ac:dyDescent="0.25">
      <c r="A1289">
        <v>942304</v>
      </c>
      <c r="B1289" t="s">
        <v>821</v>
      </c>
      <c r="G1289">
        <v>58</v>
      </c>
      <c r="H1289" t="s">
        <v>32</v>
      </c>
      <c r="I1289">
        <v>550</v>
      </c>
      <c r="J1289">
        <v>546.9</v>
      </c>
      <c r="L1289" t="s">
        <v>12</v>
      </c>
      <c r="M1289" t="b">
        <v>0</v>
      </c>
      <c r="O1289" s="1">
        <v>46192.520567129628</v>
      </c>
    </row>
    <row r="1290" spans="1:15" x14ac:dyDescent="0.25">
      <c r="A1290">
        <v>-980400287</v>
      </c>
      <c r="B1290" t="s">
        <v>821</v>
      </c>
      <c r="G1290">
        <v>35</v>
      </c>
      <c r="H1290" t="s">
        <v>36</v>
      </c>
      <c r="I1290">
        <v>32</v>
      </c>
      <c r="J1290">
        <v>31.8</v>
      </c>
      <c r="L1290" t="s">
        <v>12</v>
      </c>
      <c r="M1290" t="b">
        <v>0</v>
      </c>
      <c r="O1290" s="1">
        <v>46192.520567129628</v>
      </c>
    </row>
    <row r="1291" spans="1:15" x14ac:dyDescent="0.25">
      <c r="A1291">
        <v>230535694</v>
      </c>
      <c r="B1291" t="s">
        <v>821</v>
      </c>
      <c r="G1291">
        <v>16</v>
      </c>
      <c r="H1291" t="s">
        <v>13</v>
      </c>
      <c r="I1291">
        <v>25</v>
      </c>
      <c r="J1291">
        <v>25.4</v>
      </c>
      <c r="L1291" t="s">
        <v>15</v>
      </c>
      <c r="M1291" t="b">
        <v>0</v>
      </c>
      <c r="O1291" s="1">
        <v>46192.520567129628</v>
      </c>
    </row>
    <row r="1292" spans="1:15" x14ac:dyDescent="0.25">
      <c r="A1292">
        <v>-266947144</v>
      </c>
      <c r="B1292" t="s">
        <v>822</v>
      </c>
      <c r="C1292" t="s">
        <v>593</v>
      </c>
      <c r="D1292" t="s">
        <v>440</v>
      </c>
      <c r="E1292" t="s">
        <v>340</v>
      </c>
      <c r="F1292">
        <v>250</v>
      </c>
      <c r="K1292" s="1">
        <v>46192.528564814813</v>
      </c>
      <c r="M1292" t="b">
        <v>0</v>
      </c>
      <c r="O1292" s="1">
        <v>46192.528564814813</v>
      </c>
    </row>
    <row r="1293" spans="1:15" x14ac:dyDescent="0.25">
      <c r="A1293">
        <v>1900101977</v>
      </c>
      <c r="B1293" t="s">
        <v>822</v>
      </c>
      <c r="G1293">
        <v>41</v>
      </c>
      <c r="H1293" t="s">
        <v>29</v>
      </c>
      <c r="I1293">
        <v>540</v>
      </c>
      <c r="J1293">
        <v>537</v>
      </c>
      <c r="L1293" t="s">
        <v>12</v>
      </c>
      <c r="M1293" t="b">
        <v>0</v>
      </c>
      <c r="O1293" s="1">
        <v>46192.528564814813</v>
      </c>
    </row>
    <row r="1294" spans="1:15" x14ac:dyDescent="0.25">
      <c r="A1294">
        <v>-496078170</v>
      </c>
      <c r="B1294" t="s">
        <v>822</v>
      </c>
      <c r="G1294">
        <v>58</v>
      </c>
      <c r="H1294" t="s">
        <v>32</v>
      </c>
      <c r="I1294">
        <v>1122.5</v>
      </c>
      <c r="J1294">
        <v>1122.2</v>
      </c>
      <c r="L1294" t="s">
        <v>12</v>
      </c>
      <c r="M1294" t="b">
        <v>0</v>
      </c>
      <c r="O1294" s="1">
        <v>46192.528564814813</v>
      </c>
    </row>
    <row r="1295" spans="1:15" x14ac:dyDescent="0.25">
      <c r="A1295">
        <v>-202683601</v>
      </c>
      <c r="B1295" t="s">
        <v>822</v>
      </c>
      <c r="G1295">
        <v>35</v>
      </c>
      <c r="H1295" t="s">
        <v>36</v>
      </c>
      <c r="I1295">
        <v>177.5</v>
      </c>
      <c r="J1295">
        <v>176.9</v>
      </c>
      <c r="L1295" t="s">
        <v>12</v>
      </c>
      <c r="M1295" t="b">
        <v>0</v>
      </c>
      <c r="O1295" s="1">
        <v>46192.528564814813</v>
      </c>
    </row>
    <row r="1296" spans="1:15" x14ac:dyDescent="0.25">
      <c r="A1296">
        <v>1722315076</v>
      </c>
      <c r="B1296" t="s">
        <v>822</v>
      </c>
      <c r="G1296">
        <v>11</v>
      </c>
      <c r="H1296" t="s">
        <v>33</v>
      </c>
      <c r="I1296">
        <v>37.5</v>
      </c>
      <c r="J1296">
        <v>37.6</v>
      </c>
      <c r="L1296" t="s">
        <v>12</v>
      </c>
      <c r="M1296" t="b">
        <v>0</v>
      </c>
      <c r="O1296" s="1">
        <v>46192.528564814813</v>
      </c>
    </row>
    <row r="1297" spans="1:15" x14ac:dyDescent="0.25">
      <c r="A1297">
        <v>1583284469</v>
      </c>
      <c r="B1297" t="s">
        <v>823</v>
      </c>
      <c r="C1297" t="s">
        <v>469</v>
      </c>
      <c r="D1297" t="s">
        <v>470</v>
      </c>
      <c r="E1297" t="s">
        <v>313</v>
      </c>
      <c r="F1297">
        <v>300</v>
      </c>
      <c r="K1297" s="1">
        <v>46192.532488425924</v>
      </c>
      <c r="M1297" t="b">
        <v>0</v>
      </c>
      <c r="O1297" s="1">
        <v>46192.532488425924</v>
      </c>
    </row>
    <row r="1298" spans="1:15" x14ac:dyDescent="0.25">
      <c r="A1298">
        <v>634341650</v>
      </c>
      <c r="B1298" t="s">
        <v>823</v>
      </c>
      <c r="G1298">
        <v>41</v>
      </c>
      <c r="H1298" t="s">
        <v>29</v>
      </c>
      <c r="I1298">
        <v>1800</v>
      </c>
      <c r="J1298">
        <v>1783.5</v>
      </c>
      <c r="L1298" t="s">
        <v>12</v>
      </c>
      <c r="M1298" t="b">
        <v>0</v>
      </c>
      <c r="O1298" s="1">
        <v>46192.532488425924</v>
      </c>
    </row>
    <row r="1299" spans="1:15" x14ac:dyDescent="0.25">
      <c r="A1299">
        <v>1268122667</v>
      </c>
      <c r="B1299" t="s">
        <v>823</v>
      </c>
      <c r="G1299">
        <v>16</v>
      </c>
      <c r="H1299" t="s">
        <v>13</v>
      </c>
      <c r="I1299">
        <v>30</v>
      </c>
      <c r="J1299">
        <v>30.6</v>
      </c>
      <c r="L1299" t="s">
        <v>15</v>
      </c>
      <c r="M1299" t="b">
        <v>0</v>
      </c>
      <c r="O1299" s="1">
        <v>46192.532488425924</v>
      </c>
    </row>
    <row r="1300" spans="1:15" x14ac:dyDescent="0.25">
      <c r="A1300">
        <v>1877615847</v>
      </c>
      <c r="B1300" t="s">
        <v>824</v>
      </c>
      <c r="C1300" t="s">
        <v>825</v>
      </c>
      <c r="D1300" t="s">
        <v>596</v>
      </c>
      <c r="E1300" t="s">
        <v>313</v>
      </c>
      <c r="F1300">
        <v>50</v>
      </c>
      <c r="K1300" s="1">
        <v>46192.543923611112</v>
      </c>
      <c r="M1300" t="b">
        <v>0</v>
      </c>
      <c r="O1300" s="1">
        <v>46192.543923611112</v>
      </c>
    </row>
    <row r="1301" spans="1:15" x14ac:dyDescent="0.25">
      <c r="A1301">
        <v>1050268</v>
      </c>
      <c r="B1301" t="s">
        <v>824</v>
      </c>
      <c r="G1301">
        <v>41</v>
      </c>
      <c r="H1301" t="s">
        <v>29</v>
      </c>
      <c r="I1301">
        <v>340</v>
      </c>
      <c r="J1301">
        <v>338</v>
      </c>
      <c r="L1301" t="s">
        <v>12</v>
      </c>
      <c r="M1301" t="b">
        <v>0</v>
      </c>
      <c r="O1301" s="1">
        <v>46192.543923611112</v>
      </c>
    </row>
    <row r="1302" spans="1:15" x14ac:dyDescent="0.25">
      <c r="A1302">
        <v>63000941</v>
      </c>
      <c r="B1302" t="s">
        <v>824</v>
      </c>
      <c r="G1302">
        <v>35</v>
      </c>
      <c r="H1302" t="s">
        <v>36</v>
      </c>
      <c r="I1302">
        <v>70</v>
      </c>
      <c r="J1302">
        <v>70.400000000000006</v>
      </c>
      <c r="L1302" t="s">
        <v>12</v>
      </c>
      <c r="M1302" t="b">
        <v>0</v>
      </c>
      <c r="O1302" s="1">
        <v>46192.543923611112</v>
      </c>
    </row>
    <row r="1303" spans="1:15" x14ac:dyDescent="0.25">
      <c r="A1303">
        <v>1382235690</v>
      </c>
      <c r="B1303" t="s">
        <v>824</v>
      </c>
      <c r="G1303">
        <v>44</v>
      </c>
      <c r="H1303" t="s">
        <v>16</v>
      </c>
      <c r="I1303">
        <v>19</v>
      </c>
      <c r="J1303">
        <v>18.600000000000001</v>
      </c>
      <c r="L1303" t="s">
        <v>15</v>
      </c>
      <c r="M1303" t="b">
        <v>0</v>
      </c>
      <c r="O1303" s="1">
        <v>46192.543923611112</v>
      </c>
    </row>
    <row r="1304" spans="1:15" x14ac:dyDescent="0.25">
      <c r="A1304">
        <v>-1977692606</v>
      </c>
      <c r="B1304" t="s">
        <v>826</v>
      </c>
      <c r="C1304" t="s">
        <v>342</v>
      </c>
      <c r="D1304" t="s">
        <v>748</v>
      </c>
      <c r="E1304" t="s">
        <v>336</v>
      </c>
      <c r="F1304">
        <v>50</v>
      </c>
      <c r="K1304" s="1">
        <v>46192.57640046296</v>
      </c>
      <c r="M1304" t="b">
        <v>0</v>
      </c>
      <c r="O1304" s="1">
        <v>46192.57640046296</v>
      </c>
    </row>
    <row r="1305" spans="1:15" x14ac:dyDescent="0.25">
      <c r="A1305">
        <v>-1153856101</v>
      </c>
      <c r="B1305" t="s">
        <v>826</v>
      </c>
      <c r="G1305">
        <v>41</v>
      </c>
      <c r="H1305" t="s">
        <v>29</v>
      </c>
      <c r="I1305">
        <v>380.5</v>
      </c>
      <c r="J1305">
        <v>380.2</v>
      </c>
      <c r="L1305" t="s">
        <v>12</v>
      </c>
      <c r="M1305" t="b">
        <v>0</v>
      </c>
      <c r="O1305" s="1">
        <v>46192.57640046296</v>
      </c>
    </row>
    <row r="1306" spans="1:15" x14ac:dyDescent="0.25">
      <c r="A1306">
        <v>1041704512</v>
      </c>
      <c r="B1306" t="s">
        <v>826</v>
      </c>
      <c r="G1306">
        <v>68</v>
      </c>
      <c r="H1306" t="s">
        <v>14</v>
      </c>
      <c r="I1306">
        <v>59.5</v>
      </c>
      <c r="J1306">
        <v>60</v>
      </c>
      <c r="L1306" t="s">
        <v>12</v>
      </c>
      <c r="M1306" t="b">
        <v>0</v>
      </c>
      <c r="O1306" s="1">
        <v>46192.57640046296</v>
      </c>
    </row>
    <row r="1307" spans="1:15" x14ac:dyDescent="0.25">
      <c r="A1307">
        <v>107952449</v>
      </c>
      <c r="B1307" t="s">
        <v>826</v>
      </c>
      <c r="G1307">
        <v>11</v>
      </c>
      <c r="H1307" t="s">
        <v>33</v>
      </c>
      <c r="I1307">
        <v>18.5</v>
      </c>
      <c r="J1307">
        <v>18.399999999999999</v>
      </c>
      <c r="L1307" t="s">
        <v>12</v>
      </c>
      <c r="M1307" t="b">
        <v>0</v>
      </c>
      <c r="O1307" s="1">
        <v>46192.57640046296</v>
      </c>
    </row>
    <row r="1308" spans="1:15" x14ac:dyDescent="0.25">
      <c r="A1308">
        <v>-633506194</v>
      </c>
      <c r="B1308" t="s">
        <v>827</v>
      </c>
      <c r="C1308" t="s">
        <v>502</v>
      </c>
      <c r="D1308" t="s">
        <v>503</v>
      </c>
      <c r="E1308" t="s">
        <v>340</v>
      </c>
      <c r="F1308">
        <v>400</v>
      </c>
      <c r="K1308" s="1">
        <v>46192.580023148148</v>
      </c>
      <c r="M1308" t="b">
        <v>0</v>
      </c>
      <c r="O1308" s="1">
        <v>46192.580023148148</v>
      </c>
    </row>
    <row r="1309" spans="1:15" x14ac:dyDescent="0.25">
      <c r="A1309">
        <v>-1967872681</v>
      </c>
      <c r="B1309" t="s">
        <v>827</v>
      </c>
      <c r="G1309">
        <v>41</v>
      </c>
      <c r="H1309" t="s">
        <v>29</v>
      </c>
      <c r="I1309">
        <v>5400</v>
      </c>
      <c r="J1309">
        <v>5417.3</v>
      </c>
      <c r="L1309" t="s">
        <v>12</v>
      </c>
      <c r="M1309" t="b">
        <v>0</v>
      </c>
      <c r="O1309" s="1">
        <v>46192.580023148148</v>
      </c>
    </row>
    <row r="1310" spans="1:15" x14ac:dyDescent="0.25">
      <c r="A1310">
        <v>-1861404084</v>
      </c>
      <c r="B1310" t="s">
        <v>827</v>
      </c>
      <c r="G1310">
        <v>0</v>
      </c>
      <c r="H1310" t="s">
        <v>193</v>
      </c>
      <c r="I1310">
        <v>160</v>
      </c>
      <c r="J1310">
        <v>161.6</v>
      </c>
      <c r="L1310" t="s">
        <v>15</v>
      </c>
      <c r="M1310" t="b">
        <v>0</v>
      </c>
      <c r="O1310" s="1">
        <v>46192.580023148148</v>
      </c>
    </row>
    <row r="1311" spans="1:15" x14ac:dyDescent="0.25">
      <c r="A1311">
        <v>-67994575</v>
      </c>
      <c r="B1311" t="s">
        <v>828</v>
      </c>
      <c r="C1311" t="s">
        <v>668</v>
      </c>
      <c r="D1311" t="s">
        <v>669</v>
      </c>
      <c r="E1311" t="s">
        <v>340</v>
      </c>
      <c r="F1311">
        <v>50</v>
      </c>
      <c r="K1311" s="1">
        <v>46192.650752314818</v>
      </c>
      <c r="M1311" t="b">
        <v>0</v>
      </c>
      <c r="O1311" s="1">
        <v>46192.650752314818</v>
      </c>
    </row>
    <row r="1312" spans="1:15" x14ac:dyDescent="0.25">
      <c r="A1312">
        <v>-59516258</v>
      </c>
      <c r="B1312" t="s">
        <v>828</v>
      </c>
      <c r="G1312">
        <v>41</v>
      </c>
      <c r="H1312" t="s">
        <v>29</v>
      </c>
      <c r="I1312">
        <v>1000</v>
      </c>
      <c r="J1312">
        <v>1006</v>
      </c>
      <c r="L1312" t="s">
        <v>12</v>
      </c>
      <c r="M1312" t="b">
        <v>0</v>
      </c>
      <c r="O1312" s="1">
        <v>46192.650752314818</v>
      </c>
    </row>
    <row r="1313" spans="1:15" x14ac:dyDescent="0.25">
      <c r="A1313">
        <v>-2008587833</v>
      </c>
      <c r="B1313" t="s">
        <v>828</v>
      </c>
      <c r="G1313">
        <v>58</v>
      </c>
      <c r="H1313" t="s">
        <v>32</v>
      </c>
      <c r="I1313">
        <v>550</v>
      </c>
      <c r="J1313">
        <v>547.5</v>
      </c>
      <c r="L1313" t="s">
        <v>12</v>
      </c>
      <c r="M1313" t="b">
        <v>0</v>
      </c>
      <c r="O1313" s="1">
        <v>46192.650752314818</v>
      </c>
    </row>
    <row r="1314" spans="1:15" x14ac:dyDescent="0.25">
      <c r="A1314">
        <v>-450561540</v>
      </c>
      <c r="B1314" t="s">
        <v>828</v>
      </c>
      <c r="G1314">
        <v>35</v>
      </c>
      <c r="H1314" t="s">
        <v>36</v>
      </c>
      <c r="I1314">
        <v>32</v>
      </c>
      <c r="J1314">
        <v>32</v>
      </c>
      <c r="L1314" t="s">
        <v>12</v>
      </c>
      <c r="M1314" t="b">
        <v>0</v>
      </c>
      <c r="O1314" s="1">
        <v>46192.650752314818</v>
      </c>
    </row>
    <row r="1315" spans="1:15" x14ac:dyDescent="0.25">
      <c r="A1315">
        <v>320362829</v>
      </c>
      <c r="B1315" t="s">
        <v>828</v>
      </c>
      <c r="G1315">
        <v>16</v>
      </c>
      <c r="H1315" t="s">
        <v>13</v>
      </c>
      <c r="I1315">
        <v>25</v>
      </c>
      <c r="J1315">
        <v>24.8</v>
      </c>
      <c r="L1315" t="s">
        <v>12</v>
      </c>
      <c r="M1315" t="b">
        <v>0</v>
      </c>
      <c r="O1315" s="1">
        <v>46192.650752314818</v>
      </c>
    </row>
    <row r="1316" spans="1:15" x14ac:dyDescent="0.25">
      <c r="A1316">
        <v>856784182</v>
      </c>
      <c r="B1316" t="s">
        <v>829</v>
      </c>
      <c r="C1316" t="s">
        <v>379</v>
      </c>
      <c r="D1316" t="s">
        <v>616</v>
      </c>
      <c r="E1316" t="s">
        <v>340</v>
      </c>
      <c r="F1316">
        <v>120</v>
      </c>
      <c r="K1316" s="1">
        <v>46192.665486111109</v>
      </c>
      <c r="M1316" t="b">
        <v>0</v>
      </c>
      <c r="O1316" s="1">
        <v>46192.665486111109</v>
      </c>
    </row>
    <row r="1317" spans="1:15" x14ac:dyDescent="0.25">
      <c r="A1317">
        <v>1880196735</v>
      </c>
      <c r="B1317" t="s">
        <v>829</v>
      </c>
      <c r="G1317">
        <v>41</v>
      </c>
      <c r="H1317" t="s">
        <v>29</v>
      </c>
      <c r="I1317">
        <v>600</v>
      </c>
      <c r="J1317">
        <v>602.9</v>
      </c>
      <c r="L1317" t="s">
        <v>12</v>
      </c>
      <c r="M1317" t="b">
        <v>0</v>
      </c>
      <c r="O1317" s="1">
        <v>46192.665486111109</v>
      </c>
    </row>
    <row r="1318" spans="1:15" x14ac:dyDescent="0.25">
      <c r="A1318">
        <v>18043827</v>
      </c>
      <c r="B1318" t="s">
        <v>830</v>
      </c>
      <c r="C1318" t="s">
        <v>668</v>
      </c>
      <c r="D1318" t="s">
        <v>669</v>
      </c>
      <c r="E1318" t="s">
        <v>336</v>
      </c>
      <c r="F1318">
        <v>50</v>
      </c>
      <c r="K1318" s="1">
        <v>46192.719872685186</v>
      </c>
      <c r="M1318" t="b">
        <v>0</v>
      </c>
      <c r="O1318" s="1">
        <v>46192.719872685186</v>
      </c>
    </row>
    <row r="1319" spans="1:15" x14ac:dyDescent="0.25">
      <c r="A1319">
        <v>995657848</v>
      </c>
      <c r="B1319" t="s">
        <v>830</v>
      </c>
      <c r="G1319">
        <v>41</v>
      </c>
      <c r="H1319" t="s">
        <v>29</v>
      </c>
      <c r="I1319">
        <v>1000</v>
      </c>
      <c r="J1319">
        <v>1004.3</v>
      </c>
      <c r="L1319" t="s">
        <v>12</v>
      </c>
      <c r="M1319" t="b">
        <v>0</v>
      </c>
      <c r="O1319" s="1">
        <v>46192.719872685186</v>
      </c>
    </row>
    <row r="1320" spans="1:15" x14ac:dyDescent="0.25">
      <c r="A1320">
        <v>-1087648487</v>
      </c>
      <c r="B1320" t="s">
        <v>830</v>
      </c>
      <c r="G1320">
        <v>58</v>
      </c>
      <c r="H1320" t="s">
        <v>32</v>
      </c>
      <c r="I1320">
        <v>550</v>
      </c>
      <c r="J1320">
        <v>553</v>
      </c>
      <c r="L1320" t="s">
        <v>12</v>
      </c>
      <c r="M1320" t="b">
        <v>0</v>
      </c>
      <c r="O1320" s="1">
        <v>46192.719872685186</v>
      </c>
    </row>
    <row r="1321" spans="1:15" x14ac:dyDescent="0.25">
      <c r="A1321">
        <v>2117567334</v>
      </c>
      <c r="B1321" t="s">
        <v>830</v>
      </c>
      <c r="G1321">
        <v>35</v>
      </c>
      <c r="H1321" t="s">
        <v>36</v>
      </c>
      <c r="I1321">
        <v>32</v>
      </c>
      <c r="J1321">
        <v>31.7</v>
      </c>
      <c r="L1321" t="s">
        <v>12</v>
      </c>
      <c r="M1321" t="b">
        <v>0</v>
      </c>
      <c r="O1321" s="1">
        <v>46192.719872685186</v>
      </c>
    </row>
    <row r="1322" spans="1:15" x14ac:dyDescent="0.25">
      <c r="A1322">
        <v>1800387823</v>
      </c>
      <c r="B1322" t="s">
        <v>830</v>
      </c>
      <c r="G1322">
        <v>16</v>
      </c>
      <c r="H1322" t="s">
        <v>13</v>
      </c>
      <c r="I1322">
        <v>25</v>
      </c>
      <c r="J1322">
        <v>26.2</v>
      </c>
      <c r="L1322" t="s">
        <v>15</v>
      </c>
      <c r="M1322" t="b">
        <v>0</v>
      </c>
      <c r="O1322" s="1">
        <v>46192.719872685186</v>
      </c>
    </row>
    <row r="1323" spans="1:15" x14ac:dyDescent="0.25">
      <c r="A1323">
        <v>1660906753</v>
      </c>
      <c r="B1323" t="s">
        <v>831</v>
      </c>
      <c r="C1323" t="s">
        <v>338</v>
      </c>
      <c r="D1323" t="s">
        <v>832</v>
      </c>
      <c r="E1323" t="s">
        <v>336</v>
      </c>
      <c r="F1323">
        <v>120</v>
      </c>
      <c r="K1323" s="1">
        <v>46192.810763888891</v>
      </c>
      <c r="M1323" t="b">
        <v>0</v>
      </c>
      <c r="O1323" s="1">
        <v>46192.810763888891</v>
      </c>
    </row>
    <row r="1324" spans="1:15" x14ac:dyDescent="0.25">
      <c r="A1324">
        <v>-569045202</v>
      </c>
      <c r="B1324" t="s">
        <v>831</v>
      </c>
      <c r="G1324">
        <v>41</v>
      </c>
      <c r="H1324" t="s">
        <v>29</v>
      </c>
      <c r="I1324">
        <v>2520</v>
      </c>
      <c r="J1324">
        <v>0.1</v>
      </c>
      <c r="L1324" t="s">
        <v>15</v>
      </c>
      <c r="M1324" t="b">
        <v>0</v>
      </c>
      <c r="O1324" s="1">
        <v>46192.810763888891</v>
      </c>
    </row>
    <row r="1325" spans="1:15" x14ac:dyDescent="0.25">
      <c r="A1325">
        <v>1524039447</v>
      </c>
      <c r="B1325" t="s">
        <v>831</v>
      </c>
      <c r="G1325">
        <v>0</v>
      </c>
      <c r="H1325" t="s">
        <v>193</v>
      </c>
      <c r="I1325">
        <v>168</v>
      </c>
      <c r="J1325">
        <v>168.3</v>
      </c>
      <c r="L1325" t="s">
        <v>12</v>
      </c>
      <c r="M1325" t="b">
        <v>0</v>
      </c>
      <c r="O1325" s="1">
        <v>46192.810763888891</v>
      </c>
    </row>
    <row r="1326" spans="1:15" x14ac:dyDescent="0.25">
      <c r="A1326">
        <v>-297624074</v>
      </c>
      <c r="B1326" t="s">
        <v>833</v>
      </c>
      <c r="C1326" t="s">
        <v>345</v>
      </c>
      <c r="D1326" t="s">
        <v>537</v>
      </c>
      <c r="E1326" t="s">
        <v>336</v>
      </c>
      <c r="F1326">
        <v>50</v>
      </c>
      <c r="K1326" s="1">
        <v>46192.878622685188</v>
      </c>
      <c r="M1326" t="b">
        <v>0</v>
      </c>
      <c r="O1326" s="1">
        <v>46192.878622685188</v>
      </c>
    </row>
    <row r="1327" spans="1:15" x14ac:dyDescent="0.25">
      <c r="A1327">
        <v>-350173121</v>
      </c>
      <c r="B1327" t="s">
        <v>833</v>
      </c>
      <c r="G1327">
        <v>41</v>
      </c>
      <c r="H1327" t="s">
        <v>29</v>
      </c>
      <c r="I1327">
        <v>735</v>
      </c>
      <c r="J1327">
        <v>735.9</v>
      </c>
      <c r="L1327" t="s">
        <v>12</v>
      </c>
      <c r="M1327" t="b">
        <v>0</v>
      </c>
      <c r="O1327" s="1">
        <v>46192.878622685188</v>
      </c>
    </row>
    <row r="1328" spans="1:15" x14ac:dyDescent="0.25">
      <c r="A1328">
        <v>-580137708</v>
      </c>
      <c r="B1328" t="s">
        <v>833</v>
      </c>
      <c r="G1328">
        <v>44</v>
      </c>
      <c r="H1328" t="s">
        <v>16</v>
      </c>
      <c r="I1328">
        <v>52</v>
      </c>
      <c r="J1328">
        <v>52.1</v>
      </c>
      <c r="L1328" t="s">
        <v>12</v>
      </c>
      <c r="M1328" t="b">
        <v>0</v>
      </c>
      <c r="O1328" s="1">
        <v>46192.878622685188</v>
      </c>
    </row>
    <row r="1329" spans="1:15" x14ac:dyDescent="0.25">
      <c r="A1329">
        <v>-1489828731</v>
      </c>
      <c r="B1329" t="s">
        <v>833</v>
      </c>
      <c r="G1329">
        <v>4</v>
      </c>
      <c r="H1329" t="s">
        <v>27</v>
      </c>
      <c r="I1329">
        <v>240</v>
      </c>
      <c r="J1329">
        <v>240.9</v>
      </c>
      <c r="L1329" t="s">
        <v>12</v>
      </c>
      <c r="M1329" t="b">
        <v>0</v>
      </c>
      <c r="O1329" s="1">
        <v>46192.878622685188</v>
      </c>
    </row>
    <row r="1330" spans="1:15" x14ac:dyDescent="0.25">
      <c r="A1330">
        <v>-520752581</v>
      </c>
      <c r="B1330" t="s">
        <v>834</v>
      </c>
      <c r="C1330" t="s">
        <v>668</v>
      </c>
      <c r="D1330" t="s">
        <v>669</v>
      </c>
      <c r="E1330" t="s">
        <v>336</v>
      </c>
      <c r="F1330">
        <v>50</v>
      </c>
      <c r="K1330" s="1">
        <v>46192.917384259257</v>
      </c>
      <c r="M1330" t="b">
        <v>0</v>
      </c>
      <c r="O1330" s="1">
        <v>46192.917384259257</v>
      </c>
    </row>
    <row r="1331" spans="1:15" x14ac:dyDescent="0.25">
      <c r="A1331">
        <v>714905184</v>
      </c>
      <c r="B1331" t="s">
        <v>834</v>
      </c>
      <c r="G1331">
        <v>41</v>
      </c>
      <c r="H1331" t="s">
        <v>29</v>
      </c>
      <c r="I1331">
        <v>1000</v>
      </c>
      <c r="J1331">
        <v>1000.9</v>
      </c>
      <c r="L1331" t="s">
        <v>12</v>
      </c>
      <c r="M1331" t="b">
        <v>0</v>
      </c>
      <c r="O1331" s="1">
        <v>46192.917384259257</v>
      </c>
    </row>
    <row r="1332" spans="1:15" x14ac:dyDescent="0.25">
      <c r="A1332">
        <v>-459231519</v>
      </c>
      <c r="B1332" t="s">
        <v>834</v>
      </c>
      <c r="G1332">
        <v>58</v>
      </c>
      <c r="H1332" t="s">
        <v>32</v>
      </c>
      <c r="I1332">
        <v>550</v>
      </c>
      <c r="J1332">
        <v>551.4</v>
      </c>
      <c r="L1332" t="s">
        <v>12</v>
      </c>
      <c r="M1332" t="b">
        <v>0</v>
      </c>
      <c r="O1332" s="1">
        <v>46192.917384259257</v>
      </c>
    </row>
    <row r="1333" spans="1:15" x14ac:dyDescent="0.25">
      <c r="A1333">
        <v>-1600330866</v>
      </c>
      <c r="B1333" t="s">
        <v>834</v>
      </c>
      <c r="G1333">
        <v>35</v>
      </c>
      <c r="H1333" t="s">
        <v>36</v>
      </c>
      <c r="I1333">
        <v>32</v>
      </c>
      <c r="J1333">
        <v>32.200000000000003</v>
      </c>
      <c r="L1333" t="s">
        <v>12</v>
      </c>
      <c r="M1333" t="b">
        <v>0</v>
      </c>
      <c r="O1333" s="1">
        <v>46192.917384259257</v>
      </c>
    </row>
    <row r="1334" spans="1:15" x14ac:dyDescent="0.25">
      <c r="A1334">
        <v>-846883849</v>
      </c>
      <c r="B1334" t="s">
        <v>834</v>
      </c>
      <c r="G1334">
        <v>16</v>
      </c>
      <c r="H1334" t="s">
        <v>13</v>
      </c>
      <c r="I1334">
        <v>25</v>
      </c>
      <c r="J1334">
        <v>25.1</v>
      </c>
      <c r="L1334" t="s">
        <v>12</v>
      </c>
      <c r="M1334" t="b">
        <v>0</v>
      </c>
      <c r="O1334" s="1">
        <v>46192.917384259257</v>
      </c>
    </row>
    <row r="1335" spans="1:15" x14ac:dyDescent="0.25">
      <c r="A1335">
        <v>-1909789588</v>
      </c>
      <c r="B1335" t="s">
        <v>835</v>
      </c>
      <c r="C1335" t="s">
        <v>756</v>
      </c>
      <c r="D1335" t="s">
        <v>757</v>
      </c>
      <c r="E1335" t="s">
        <v>340</v>
      </c>
      <c r="F1335">
        <v>100</v>
      </c>
      <c r="K1335" s="1">
        <v>46192.933148148149</v>
      </c>
      <c r="M1335" t="b">
        <v>0</v>
      </c>
      <c r="O1335" s="1">
        <v>46192.933148148149</v>
      </c>
    </row>
    <row r="1336" spans="1:15" x14ac:dyDescent="0.25">
      <c r="A1336">
        <v>-1930127619</v>
      </c>
      <c r="B1336" t="s">
        <v>835</v>
      </c>
      <c r="G1336">
        <v>41</v>
      </c>
      <c r="H1336" t="s">
        <v>29</v>
      </c>
      <c r="I1336">
        <v>1300</v>
      </c>
      <c r="J1336">
        <v>1300.9000000000001</v>
      </c>
      <c r="L1336" t="s">
        <v>12</v>
      </c>
      <c r="M1336" t="b">
        <v>0</v>
      </c>
      <c r="O1336" s="1">
        <v>46192.933148148149</v>
      </c>
    </row>
    <row r="1337" spans="1:15" x14ac:dyDescent="0.25">
      <c r="A1337">
        <v>350607482</v>
      </c>
      <c r="B1337" t="s">
        <v>835</v>
      </c>
      <c r="G1337">
        <v>35</v>
      </c>
      <c r="H1337" t="s">
        <v>36</v>
      </c>
      <c r="I1337">
        <v>180</v>
      </c>
      <c r="J1337">
        <v>181</v>
      </c>
      <c r="L1337" t="s">
        <v>12</v>
      </c>
      <c r="M1337" t="b">
        <v>0</v>
      </c>
      <c r="O1337" s="1">
        <v>46192.933148148149</v>
      </c>
    </row>
    <row r="1338" spans="1:15" x14ac:dyDescent="0.25">
      <c r="A1338">
        <v>1768204659</v>
      </c>
      <c r="B1338" t="s">
        <v>835</v>
      </c>
      <c r="G1338">
        <v>44</v>
      </c>
      <c r="H1338" t="s">
        <v>16</v>
      </c>
      <c r="I1338">
        <v>90</v>
      </c>
      <c r="J1338">
        <v>90.2</v>
      </c>
      <c r="L1338" t="s">
        <v>12</v>
      </c>
      <c r="M1338" t="b">
        <v>0</v>
      </c>
      <c r="O1338" s="1">
        <v>46192.933148148149</v>
      </c>
    </row>
    <row r="1339" spans="1:15" x14ac:dyDescent="0.25">
      <c r="A1339">
        <v>1420761912</v>
      </c>
      <c r="B1339" t="s">
        <v>836</v>
      </c>
      <c r="C1339" t="s">
        <v>525</v>
      </c>
      <c r="D1339" t="s">
        <v>526</v>
      </c>
      <c r="E1339" t="s">
        <v>336</v>
      </c>
      <c r="F1339">
        <v>50</v>
      </c>
      <c r="K1339" s="1">
        <v>46192.943182870367</v>
      </c>
      <c r="M1339" t="b">
        <v>0</v>
      </c>
      <c r="O1339" s="1">
        <v>46192.943182870367</v>
      </c>
    </row>
    <row r="1340" spans="1:15" x14ac:dyDescent="0.25">
      <c r="A1340">
        <v>-348383015</v>
      </c>
      <c r="B1340" t="s">
        <v>836</v>
      </c>
      <c r="G1340">
        <v>41</v>
      </c>
      <c r="H1340" t="s">
        <v>29</v>
      </c>
      <c r="I1340">
        <v>1335</v>
      </c>
      <c r="J1340">
        <v>1336.1</v>
      </c>
      <c r="L1340" t="s">
        <v>12</v>
      </c>
      <c r="M1340" t="b">
        <v>0</v>
      </c>
      <c r="O1340" s="1">
        <v>46192.943182870367</v>
      </c>
    </row>
    <row r="1341" spans="1:15" x14ac:dyDescent="0.25">
      <c r="A1341">
        <v>287527974</v>
      </c>
      <c r="B1341" t="s">
        <v>836</v>
      </c>
      <c r="G1341">
        <v>4</v>
      </c>
      <c r="H1341" t="s">
        <v>27</v>
      </c>
      <c r="I1341">
        <v>400</v>
      </c>
      <c r="J1341">
        <v>399.9</v>
      </c>
      <c r="L1341" t="s">
        <v>12</v>
      </c>
      <c r="M1341" t="b">
        <v>0</v>
      </c>
      <c r="O1341" s="1">
        <v>46192.943182870367</v>
      </c>
    </row>
    <row r="1342" spans="1:15" x14ac:dyDescent="0.25">
      <c r="A1342">
        <v>1361412727</v>
      </c>
      <c r="B1342" t="s">
        <v>837</v>
      </c>
      <c r="C1342" t="s">
        <v>612</v>
      </c>
      <c r="D1342" t="s">
        <v>613</v>
      </c>
      <c r="E1342" t="s">
        <v>336</v>
      </c>
      <c r="F1342">
        <v>50</v>
      </c>
      <c r="K1342" s="1">
        <v>46202.993113425924</v>
      </c>
      <c r="M1342" t="b">
        <v>0</v>
      </c>
      <c r="O1342" s="1">
        <v>46202.993113425924</v>
      </c>
    </row>
    <row r="1343" spans="1:15" x14ac:dyDescent="0.25">
      <c r="A1343">
        <v>-2121344788</v>
      </c>
      <c r="B1343" t="s">
        <v>837</v>
      </c>
      <c r="G1343">
        <v>41</v>
      </c>
      <c r="H1343" t="s">
        <v>29</v>
      </c>
      <c r="I1343">
        <v>334.5</v>
      </c>
      <c r="J1343">
        <v>335.75</v>
      </c>
      <c r="L1343" t="s">
        <v>12</v>
      </c>
      <c r="M1343" t="b">
        <v>0</v>
      </c>
      <c r="O1343" s="1">
        <v>46202.993113425924</v>
      </c>
    </row>
    <row r="1344" spans="1:15" x14ac:dyDescent="0.25">
      <c r="A1344">
        <v>-1140840067</v>
      </c>
      <c r="B1344" t="s">
        <v>837</v>
      </c>
      <c r="G1344">
        <v>35</v>
      </c>
      <c r="H1344" t="s">
        <v>36</v>
      </c>
      <c r="I1344">
        <v>30.35</v>
      </c>
      <c r="J1344">
        <v>30.21</v>
      </c>
      <c r="L1344" t="s">
        <v>12</v>
      </c>
      <c r="M1344" t="b">
        <v>0</v>
      </c>
      <c r="O1344" s="1">
        <v>46202.993113425924</v>
      </c>
    </row>
    <row r="1345" spans="1:15" x14ac:dyDescent="0.25">
      <c r="A1345">
        <v>-544368390</v>
      </c>
      <c r="B1345" t="s">
        <v>837</v>
      </c>
      <c r="G1345">
        <v>11</v>
      </c>
      <c r="H1345" t="s">
        <v>33</v>
      </c>
      <c r="I1345">
        <v>18.3</v>
      </c>
      <c r="J1345">
        <v>18.23</v>
      </c>
      <c r="L1345" t="s">
        <v>12</v>
      </c>
      <c r="M1345" t="b">
        <v>0</v>
      </c>
      <c r="O1345" s="1">
        <v>46202.993113425924</v>
      </c>
    </row>
    <row r="1346" spans="1:15" x14ac:dyDescent="0.25">
      <c r="A1346">
        <v>1352814526</v>
      </c>
      <c r="B1346" t="s">
        <v>838</v>
      </c>
      <c r="C1346" t="s">
        <v>813</v>
      </c>
      <c r="D1346" t="s">
        <v>225</v>
      </c>
      <c r="E1346" t="s">
        <v>340</v>
      </c>
      <c r="F1346">
        <v>250</v>
      </c>
      <c r="K1346" s="1">
        <v>46193.007418981484</v>
      </c>
      <c r="M1346" t="b">
        <v>0</v>
      </c>
      <c r="O1346" s="1">
        <v>46193.007418981484</v>
      </c>
    </row>
    <row r="1347" spans="1:15" x14ac:dyDescent="0.25">
      <c r="A1347">
        <v>-1179862937</v>
      </c>
      <c r="B1347" t="s">
        <v>838</v>
      </c>
      <c r="G1347">
        <v>41</v>
      </c>
      <c r="H1347" t="s">
        <v>29</v>
      </c>
      <c r="I1347">
        <v>3000</v>
      </c>
      <c r="L1347" t="s">
        <v>15</v>
      </c>
      <c r="M1347" t="b">
        <v>0</v>
      </c>
      <c r="O1347" s="1">
        <v>46193.007418981484</v>
      </c>
    </row>
    <row r="1348" spans="1:15" x14ac:dyDescent="0.25">
      <c r="A1348">
        <v>667481116</v>
      </c>
      <c r="B1348" t="s">
        <v>838</v>
      </c>
      <c r="G1348">
        <v>35</v>
      </c>
      <c r="H1348" t="s">
        <v>36</v>
      </c>
      <c r="I1348">
        <v>375</v>
      </c>
      <c r="L1348" t="s">
        <v>15</v>
      </c>
      <c r="M1348" t="b">
        <v>0</v>
      </c>
      <c r="O1348" s="1">
        <v>46193.007418981484</v>
      </c>
    </row>
    <row r="1349" spans="1:15" x14ac:dyDescent="0.25">
      <c r="A1349">
        <v>77861101</v>
      </c>
      <c r="B1349" t="s">
        <v>838</v>
      </c>
      <c r="G1349">
        <v>16</v>
      </c>
      <c r="H1349" t="s">
        <v>13</v>
      </c>
      <c r="I1349">
        <v>82.5</v>
      </c>
      <c r="L1349" t="s">
        <v>15</v>
      </c>
      <c r="M1349" t="b">
        <v>0</v>
      </c>
      <c r="O1349" s="1">
        <v>46193.007418981484</v>
      </c>
    </row>
    <row r="1350" spans="1:15" x14ac:dyDescent="0.25">
      <c r="A1350">
        <v>1741323752</v>
      </c>
      <c r="B1350" t="s">
        <v>839</v>
      </c>
      <c r="C1350" t="s">
        <v>813</v>
      </c>
      <c r="D1350" t="s">
        <v>225</v>
      </c>
      <c r="E1350" t="s">
        <v>340</v>
      </c>
      <c r="F1350">
        <v>250</v>
      </c>
      <c r="K1350" s="1">
        <v>46193.010011574072</v>
      </c>
      <c r="M1350" t="b">
        <v>0</v>
      </c>
      <c r="O1350" s="1">
        <v>46193.010011574072</v>
      </c>
    </row>
    <row r="1351" spans="1:15" x14ac:dyDescent="0.25">
      <c r="A1351">
        <v>498504137</v>
      </c>
      <c r="B1351" t="s">
        <v>839</v>
      </c>
      <c r="G1351">
        <v>41</v>
      </c>
      <c r="H1351" t="s">
        <v>29</v>
      </c>
      <c r="I1351">
        <v>3000</v>
      </c>
      <c r="J1351">
        <v>3006.8</v>
      </c>
      <c r="L1351" t="s">
        <v>12</v>
      </c>
      <c r="M1351" t="b">
        <v>0</v>
      </c>
      <c r="O1351" s="1">
        <v>46193.010011574072</v>
      </c>
    </row>
    <row r="1352" spans="1:15" x14ac:dyDescent="0.25">
      <c r="A1352">
        <v>-2058209706</v>
      </c>
      <c r="B1352" t="s">
        <v>839</v>
      </c>
      <c r="G1352">
        <v>35</v>
      </c>
      <c r="H1352" t="s">
        <v>36</v>
      </c>
      <c r="I1352">
        <v>375</v>
      </c>
      <c r="J1352">
        <v>378.3</v>
      </c>
      <c r="L1352" t="s">
        <v>12</v>
      </c>
      <c r="M1352" t="b">
        <v>0</v>
      </c>
      <c r="O1352" s="1">
        <v>46193.010011574072</v>
      </c>
    </row>
    <row r="1353" spans="1:15" x14ac:dyDescent="0.25">
      <c r="A1353">
        <v>-1278947041</v>
      </c>
      <c r="B1353" t="s">
        <v>839</v>
      </c>
      <c r="G1353">
        <v>16</v>
      </c>
      <c r="H1353" t="s">
        <v>13</v>
      </c>
      <c r="I1353">
        <v>82.5</v>
      </c>
      <c r="J1353">
        <v>83.3</v>
      </c>
      <c r="L1353" t="s">
        <v>12</v>
      </c>
      <c r="M1353" t="b">
        <v>0</v>
      </c>
      <c r="O1353" s="1">
        <v>46193.010011574072</v>
      </c>
    </row>
    <row r="1354" spans="1:15" x14ac:dyDescent="0.25">
      <c r="A1354">
        <v>251935829</v>
      </c>
      <c r="B1354" t="s">
        <v>840</v>
      </c>
      <c r="C1354" t="s">
        <v>612</v>
      </c>
      <c r="D1354" t="s">
        <v>613</v>
      </c>
      <c r="E1354" t="s">
        <v>336</v>
      </c>
      <c r="F1354">
        <v>50</v>
      </c>
      <c r="K1354" s="1">
        <v>46193.045335648145</v>
      </c>
      <c r="M1354" t="b">
        <v>0</v>
      </c>
      <c r="O1354" s="1">
        <v>46193.045335648145</v>
      </c>
    </row>
    <row r="1355" spans="1:15" x14ac:dyDescent="0.25">
      <c r="A1355">
        <v>-1640826638</v>
      </c>
      <c r="B1355" t="s">
        <v>840</v>
      </c>
      <c r="G1355">
        <v>41</v>
      </c>
      <c r="H1355" t="s">
        <v>29</v>
      </c>
      <c r="I1355">
        <v>334.5</v>
      </c>
      <c r="J1355">
        <v>336.8</v>
      </c>
      <c r="L1355" t="s">
        <v>12</v>
      </c>
      <c r="M1355" t="b">
        <v>0</v>
      </c>
      <c r="O1355" s="1">
        <v>46193.045335648145</v>
      </c>
    </row>
    <row r="1356" spans="1:15" x14ac:dyDescent="0.25">
      <c r="A1356">
        <v>-1658900853</v>
      </c>
      <c r="B1356" t="s">
        <v>840</v>
      </c>
      <c r="G1356">
        <v>35</v>
      </c>
      <c r="H1356" t="s">
        <v>36</v>
      </c>
      <c r="I1356">
        <v>30.35</v>
      </c>
      <c r="J1356">
        <v>30.2</v>
      </c>
      <c r="L1356" t="s">
        <v>12</v>
      </c>
      <c r="M1356" t="b">
        <v>0</v>
      </c>
      <c r="O1356" s="1">
        <v>46193.045335648145</v>
      </c>
    </row>
    <row r="1357" spans="1:15" x14ac:dyDescent="0.25">
      <c r="A1357">
        <v>-838070160</v>
      </c>
      <c r="B1357" t="s">
        <v>840</v>
      </c>
      <c r="G1357">
        <v>11</v>
      </c>
      <c r="H1357" t="s">
        <v>33</v>
      </c>
      <c r="I1357">
        <v>18.3</v>
      </c>
      <c r="J1357">
        <v>18.100000000000001</v>
      </c>
      <c r="L1357" t="s">
        <v>15</v>
      </c>
      <c r="M1357" t="b">
        <v>0</v>
      </c>
      <c r="O1357" s="1">
        <v>46193.045335648145</v>
      </c>
    </row>
    <row r="1358" spans="1:15" x14ac:dyDescent="0.25">
      <c r="A1358">
        <v>1358771881</v>
      </c>
      <c r="B1358" t="s">
        <v>841</v>
      </c>
      <c r="C1358" t="s">
        <v>518</v>
      </c>
      <c r="D1358" t="s">
        <v>223</v>
      </c>
      <c r="E1358" t="s">
        <v>340</v>
      </c>
      <c r="F1358">
        <v>50</v>
      </c>
      <c r="K1358" s="1">
        <v>46203.090104166666</v>
      </c>
      <c r="M1358" t="b">
        <v>0</v>
      </c>
      <c r="O1358" s="1">
        <v>46203.090104166666</v>
      </c>
    </row>
    <row r="1359" spans="1:15" x14ac:dyDescent="0.25">
      <c r="A1359">
        <v>-656510538</v>
      </c>
      <c r="B1359" t="s">
        <v>841</v>
      </c>
      <c r="G1359">
        <v>41</v>
      </c>
      <c r="H1359" t="s">
        <v>29</v>
      </c>
      <c r="I1359">
        <v>900</v>
      </c>
      <c r="J1359">
        <v>903.81</v>
      </c>
      <c r="L1359" t="s">
        <v>12</v>
      </c>
      <c r="M1359" t="b">
        <v>0</v>
      </c>
      <c r="O1359" s="1">
        <v>46203.090104166666</v>
      </c>
    </row>
    <row r="1360" spans="1:15" x14ac:dyDescent="0.25">
      <c r="A1360">
        <v>1489207551</v>
      </c>
      <c r="B1360" t="s">
        <v>841</v>
      </c>
      <c r="G1360">
        <v>4</v>
      </c>
      <c r="H1360" t="s">
        <v>27</v>
      </c>
      <c r="I1360">
        <v>16.399999999999999</v>
      </c>
      <c r="J1360">
        <v>16.329999999999998</v>
      </c>
      <c r="L1360" t="s">
        <v>12</v>
      </c>
      <c r="M1360" t="b">
        <v>0</v>
      </c>
      <c r="O1360" s="1">
        <v>46203.090104166666</v>
      </c>
    </row>
    <row r="1361" spans="1:15" x14ac:dyDescent="0.25">
      <c r="A1361">
        <v>876759562</v>
      </c>
      <c r="B1361" t="s">
        <v>842</v>
      </c>
      <c r="C1361" t="s">
        <v>813</v>
      </c>
      <c r="D1361" t="s">
        <v>225</v>
      </c>
      <c r="E1361" t="s">
        <v>340</v>
      </c>
      <c r="F1361">
        <v>250</v>
      </c>
      <c r="K1361" s="1">
        <v>46193.057071759256</v>
      </c>
      <c r="M1361" t="b">
        <v>0</v>
      </c>
      <c r="O1361" s="1">
        <v>46193.057071759256</v>
      </c>
    </row>
    <row r="1362" spans="1:15" x14ac:dyDescent="0.25">
      <c r="A1362">
        <v>-1901330493</v>
      </c>
      <c r="B1362" t="s">
        <v>842</v>
      </c>
      <c r="G1362">
        <v>41</v>
      </c>
      <c r="H1362" t="s">
        <v>29</v>
      </c>
      <c r="I1362">
        <v>3000</v>
      </c>
      <c r="J1362">
        <v>3055.3</v>
      </c>
      <c r="L1362" t="s">
        <v>15</v>
      </c>
      <c r="M1362" t="b">
        <v>0</v>
      </c>
      <c r="O1362" s="1">
        <v>46193.057071759256</v>
      </c>
    </row>
    <row r="1363" spans="1:15" x14ac:dyDescent="0.25">
      <c r="A1363">
        <v>-37411000</v>
      </c>
      <c r="B1363" t="s">
        <v>842</v>
      </c>
      <c r="G1363">
        <v>35</v>
      </c>
      <c r="H1363" t="s">
        <v>36</v>
      </c>
      <c r="I1363">
        <v>375</v>
      </c>
      <c r="J1363">
        <v>377</v>
      </c>
      <c r="L1363" t="s">
        <v>12</v>
      </c>
      <c r="M1363" t="b">
        <v>0</v>
      </c>
      <c r="O1363" s="1">
        <v>46193.057071759256</v>
      </c>
    </row>
    <row r="1364" spans="1:15" x14ac:dyDescent="0.25">
      <c r="A1364">
        <v>653432745</v>
      </c>
      <c r="B1364" t="s">
        <v>842</v>
      </c>
      <c r="G1364">
        <v>16</v>
      </c>
      <c r="H1364" t="s">
        <v>13</v>
      </c>
      <c r="I1364">
        <v>82.5</v>
      </c>
      <c r="J1364">
        <v>81.900000000000006</v>
      </c>
      <c r="L1364" t="s">
        <v>12</v>
      </c>
      <c r="M1364" t="b">
        <v>0</v>
      </c>
      <c r="O1364" s="1">
        <v>46193.057071759256</v>
      </c>
    </row>
    <row r="1365" spans="1:15" x14ac:dyDescent="0.25">
      <c r="A1365">
        <v>329559072</v>
      </c>
      <c r="B1365" t="s">
        <v>843</v>
      </c>
      <c r="C1365" t="s">
        <v>624</v>
      </c>
      <c r="D1365" t="s">
        <v>625</v>
      </c>
      <c r="E1365" t="s">
        <v>336</v>
      </c>
      <c r="F1365">
        <v>50</v>
      </c>
      <c r="K1365" s="1">
        <v>46203.105393518519</v>
      </c>
      <c r="M1365" t="b">
        <v>0</v>
      </c>
      <c r="O1365" s="1">
        <v>46203.105393518519</v>
      </c>
    </row>
    <row r="1366" spans="1:15" x14ac:dyDescent="0.25">
      <c r="A1366">
        <v>-828964447</v>
      </c>
      <c r="B1366" t="s">
        <v>843</v>
      </c>
      <c r="G1366">
        <v>41</v>
      </c>
      <c r="H1366" t="s">
        <v>29</v>
      </c>
      <c r="I1366">
        <v>280</v>
      </c>
      <c r="J1366">
        <v>281.67</v>
      </c>
      <c r="L1366" t="s">
        <v>12</v>
      </c>
      <c r="M1366" t="b">
        <v>0</v>
      </c>
      <c r="O1366" s="1">
        <v>46203.105393518519</v>
      </c>
    </row>
    <row r="1367" spans="1:15" x14ac:dyDescent="0.25">
      <c r="A1367">
        <v>-12456114</v>
      </c>
      <c r="B1367" t="s">
        <v>843</v>
      </c>
      <c r="G1367">
        <v>68</v>
      </c>
      <c r="H1367" t="s">
        <v>14</v>
      </c>
      <c r="I1367">
        <v>41.5</v>
      </c>
      <c r="J1367">
        <v>41.67</v>
      </c>
      <c r="L1367" t="s">
        <v>12</v>
      </c>
      <c r="M1367" t="b">
        <v>0</v>
      </c>
      <c r="O1367" s="1">
        <v>46203.105393518519</v>
      </c>
    </row>
    <row r="1368" spans="1:15" x14ac:dyDescent="0.25">
      <c r="A1368">
        <v>-384359241</v>
      </c>
      <c r="B1368" t="s">
        <v>843</v>
      </c>
      <c r="G1368">
        <v>11</v>
      </c>
      <c r="H1368" t="s">
        <v>33</v>
      </c>
      <c r="I1368">
        <v>12.5</v>
      </c>
      <c r="J1368">
        <v>12.38</v>
      </c>
      <c r="L1368" t="s">
        <v>12</v>
      </c>
      <c r="M1368" t="b">
        <v>0</v>
      </c>
      <c r="O1368" s="1">
        <v>46203.105393518519</v>
      </c>
    </row>
    <row r="1369" spans="1:15" x14ac:dyDescent="0.25">
      <c r="A1369">
        <v>1035093847</v>
      </c>
      <c r="B1369" t="s">
        <v>844</v>
      </c>
      <c r="C1369" t="s">
        <v>345</v>
      </c>
      <c r="D1369" t="s">
        <v>371</v>
      </c>
      <c r="E1369" t="s">
        <v>313</v>
      </c>
      <c r="F1369">
        <v>50</v>
      </c>
      <c r="K1369" s="1">
        <v>46203.106898148151</v>
      </c>
      <c r="M1369" t="b">
        <v>0</v>
      </c>
      <c r="O1369" s="1">
        <v>46203.106898148151</v>
      </c>
    </row>
    <row r="1370" spans="1:15" x14ac:dyDescent="0.25">
      <c r="A1370">
        <v>1731114060</v>
      </c>
      <c r="B1370" t="s">
        <v>844</v>
      </c>
      <c r="G1370">
        <v>41</v>
      </c>
      <c r="H1370" t="s">
        <v>29</v>
      </c>
      <c r="I1370">
        <v>225</v>
      </c>
      <c r="J1370">
        <v>225.77</v>
      </c>
      <c r="L1370" t="s">
        <v>12</v>
      </c>
      <c r="M1370" t="b">
        <v>0</v>
      </c>
      <c r="O1370" s="1">
        <v>46203.106898148151</v>
      </c>
    </row>
    <row r="1371" spans="1:15" x14ac:dyDescent="0.25">
      <c r="A1371">
        <v>-1338902179</v>
      </c>
      <c r="B1371" t="s">
        <v>844</v>
      </c>
      <c r="G1371">
        <v>35</v>
      </c>
      <c r="H1371" t="s">
        <v>36</v>
      </c>
      <c r="I1371">
        <v>30</v>
      </c>
      <c r="J1371">
        <v>29.76</v>
      </c>
      <c r="L1371" t="s">
        <v>12</v>
      </c>
      <c r="M1371" t="b">
        <v>0</v>
      </c>
      <c r="O1371" s="1">
        <v>46203.106898148151</v>
      </c>
    </row>
    <row r="1372" spans="1:15" x14ac:dyDescent="0.25">
      <c r="A1372">
        <v>621962074</v>
      </c>
      <c r="B1372" t="s">
        <v>844</v>
      </c>
      <c r="G1372">
        <v>44</v>
      </c>
      <c r="H1372" t="s">
        <v>16</v>
      </c>
      <c r="I1372">
        <v>14</v>
      </c>
      <c r="J1372">
        <v>14.48</v>
      </c>
      <c r="L1372" t="s">
        <v>15</v>
      </c>
      <c r="M1372" t="b">
        <v>0</v>
      </c>
      <c r="O1372" s="1">
        <v>46203.106898148151</v>
      </c>
    </row>
    <row r="1373" spans="1:15" x14ac:dyDescent="0.25">
      <c r="A1373">
        <v>-694538876</v>
      </c>
      <c r="B1373" t="s">
        <v>845</v>
      </c>
      <c r="C1373" t="s">
        <v>813</v>
      </c>
      <c r="D1373" t="s">
        <v>225</v>
      </c>
      <c r="E1373" t="s">
        <v>340</v>
      </c>
      <c r="F1373">
        <v>250</v>
      </c>
      <c r="K1373" s="1">
        <v>46193.095034722224</v>
      </c>
      <c r="M1373" t="b">
        <v>0</v>
      </c>
      <c r="O1373" s="1">
        <v>46193.095034722224</v>
      </c>
    </row>
    <row r="1374" spans="1:15" x14ac:dyDescent="0.25">
      <c r="A1374">
        <v>184457269</v>
      </c>
      <c r="B1374" t="s">
        <v>845</v>
      </c>
      <c r="G1374">
        <v>41</v>
      </c>
      <c r="H1374" t="s">
        <v>29</v>
      </c>
      <c r="I1374">
        <v>4000</v>
      </c>
      <c r="J1374">
        <v>4007.8</v>
      </c>
      <c r="L1374" t="s">
        <v>12</v>
      </c>
      <c r="M1374" t="b">
        <v>0</v>
      </c>
      <c r="O1374" s="1">
        <v>46193.095034722224</v>
      </c>
    </row>
    <row r="1375" spans="1:15" x14ac:dyDescent="0.25">
      <c r="A1375">
        <v>1874878290</v>
      </c>
      <c r="B1375" t="s">
        <v>845</v>
      </c>
      <c r="G1375">
        <v>35</v>
      </c>
      <c r="H1375" t="s">
        <v>36</v>
      </c>
      <c r="I1375">
        <v>350</v>
      </c>
      <c r="J1375">
        <v>351.3</v>
      </c>
      <c r="L1375" t="s">
        <v>12</v>
      </c>
      <c r="M1375" t="b">
        <v>0</v>
      </c>
      <c r="O1375" s="1">
        <v>46193.095034722224</v>
      </c>
    </row>
    <row r="1376" spans="1:15" x14ac:dyDescent="0.25">
      <c r="A1376">
        <v>888434027</v>
      </c>
      <c r="B1376" t="s">
        <v>845</v>
      </c>
      <c r="G1376">
        <v>16</v>
      </c>
      <c r="H1376" t="s">
        <v>13</v>
      </c>
      <c r="I1376">
        <v>10</v>
      </c>
      <c r="J1376">
        <v>10.7</v>
      </c>
      <c r="L1376" t="s">
        <v>15</v>
      </c>
      <c r="M1376" t="b">
        <v>0</v>
      </c>
      <c r="O1376" s="1">
        <v>46193.095034722224</v>
      </c>
    </row>
    <row r="1377" spans="1:15" x14ac:dyDescent="0.25">
      <c r="A1377">
        <v>-909494970</v>
      </c>
      <c r="B1377" t="s">
        <v>846</v>
      </c>
      <c r="C1377" t="s">
        <v>847</v>
      </c>
      <c r="D1377" t="s">
        <v>596</v>
      </c>
      <c r="E1377" t="s">
        <v>340</v>
      </c>
      <c r="F1377">
        <v>50</v>
      </c>
      <c r="K1377" s="1">
        <v>46193.143750000003</v>
      </c>
      <c r="M1377" t="b">
        <v>0</v>
      </c>
      <c r="O1377" s="1">
        <v>46193.143750000003</v>
      </c>
    </row>
    <row r="1378" spans="1:15" x14ac:dyDescent="0.25">
      <c r="A1378">
        <v>-1746386609</v>
      </c>
      <c r="B1378" t="s">
        <v>846</v>
      </c>
      <c r="G1378">
        <v>41</v>
      </c>
      <c r="H1378" t="s">
        <v>29</v>
      </c>
      <c r="I1378">
        <v>355</v>
      </c>
      <c r="J1378">
        <v>353.9</v>
      </c>
      <c r="L1378" t="s">
        <v>12</v>
      </c>
      <c r="M1378" t="b">
        <v>0</v>
      </c>
      <c r="O1378" s="1">
        <v>46193.143750000003</v>
      </c>
    </row>
    <row r="1379" spans="1:15" x14ac:dyDescent="0.25">
      <c r="A1379">
        <v>1732277476</v>
      </c>
      <c r="B1379" t="s">
        <v>846</v>
      </c>
      <c r="G1379">
        <v>35</v>
      </c>
      <c r="H1379" t="s">
        <v>36</v>
      </c>
      <c r="I1379">
        <v>126</v>
      </c>
      <c r="J1379">
        <v>125.4</v>
      </c>
      <c r="L1379" t="s">
        <v>12</v>
      </c>
      <c r="M1379" t="b">
        <v>0</v>
      </c>
      <c r="O1379" s="1">
        <v>46193.143750000003</v>
      </c>
    </row>
    <row r="1380" spans="1:15" x14ac:dyDescent="0.25">
      <c r="A1380">
        <v>-732339179</v>
      </c>
      <c r="B1380" t="s">
        <v>846</v>
      </c>
      <c r="G1380">
        <v>16</v>
      </c>
      <c r="H1380" t="s">
        <v>13</v>
      </c>
      <c r="I1380">
        <v>41.5</v>
      </c>
      <c r="J1380">
        <v>41.2</v>
      </c>
      <c r="L1380" t="s">
        <v>12</v>
      </c>
      <c r="M1380" t="b">
        <v>0</v>
      </c>
      <c r="O1380" s="1">
        <v>46193.143750000003</v>
      </c>
    </row>
    <row r="1381" spans="1:15" x14ac:dyDescent="0.25">
      <c r="A1381">
        <v>247630783</v>
      </c>
      <c r="B1381" t="s">
        <v>848</v>
      </c>
      <c r="C1381" t="s">
        <v>813</v>
      </c>
      <c r="D1381" t="s">
        <v>225</v>
      </c>
      <c r="E1381" t="s">
        <v>340</v>
      </c>
      <c r="F1381">
        <v>250</v>
      </c>
      <c r="K1381" s="1">
        <v>46193.205312500002</v>
      </c>
      <c r="M1381" t="b">
        <v>0</v>
      </c>
      <c r="O1381" s="1">
        <v>46193.205312500002</v>
      </c>
    </row>
    <row r="1382" spans="1:15" x14ac:dyDescent="0.25">
      <c r="A1382">
        <v>-696243564</v>
      </c>
      <c r="B1382" t="s">
        <v>848</v>
      </c>
      <c r="G1382">
        <v>41</v>
      </c>
      <c r="H1382" t="s">
        <v>29</v>
      </c>
      <c r="I1382">
        <v>3500</v>
      </c>
      <c r="J1382">
        <v>3507.6</v>
      </c>
      <c r="L1382" t="s">
        <v>12</v>
      </c>
      <c r="M1382" t="b">
        <v>0</v>
      </c>
      <c r="O1382" s="1">
        <v>46193.205312500002</v>
      </c>
    </row>
    <row r="1383" spans="1:15" x14ac:dyDescent="0.25">
      <c r="A1383">
        <v>-1681361915</v>
      </c>
      <c r="B1383" t="s">
        <v>848</v>
      </c>
      <c r="G1383">
        <v>35</v>
      </c>
      <c r="H1383" t="s">
        <v>36</v>
      </c>
      <c r="I1383">
        <v>400</v>
      </c>
      <c r="J1383">
        <v>401.1</v>
      </c>
      <c r="L1383" t="s">
        <v>12</v>
      </c>
      <c r="M1383" t="b">
        <v>0</v>
      </c>
      <c r="O1383" s="1">
        <v>46193.205312500002</v>
      </c>
    </row>
    <row r="1384" spans="1:15" x14ac:dyDescent="0.25">
      <c r="A1384">
        <v>582542050</v>
      </c>
      <c r="B1384" t="s">
        <v>848</v>
      </c>
      <c r="G1384">
        <v>16</v>
      </c>
      <c r="H1384" t="s">
        <v>13</v>
      </c>
      <c r="I1384">
        <v>10</v>
      </c>
      <c r="J1384">
        <v>10.4</v>
      </c>
      <c r="L1384" t="s">
        <v>15</v>
      </c>
      <c r="M1384" t="b">
        <v>0</v>
      </c>
      <c r="O1384" s="1">
        <v>46193.205312500002</v>
      </c>
    </row>
    <row r="1385" spans="1:15" x14ac:dyDescent="0.25">
      <c r="A1385">
        <v>-81933344</v>
      </c>
      <c r="B1385" t="s">
        <v>849</v>
      </c>
      <c r="C1385" t="s">
        <v>668</v>
      </c>
      <c r="D1385" t="s">
        <v>669</v>
      </c>
      <c r="E1385" t="s">
        <v>336</v>
      </c>
      <c r="F1385">
        <v>50</v>
      </c>
      <c r="K1385" s="1">
        <v>46193.772291666668</v>
      </c>
      <c r="M1385" t="b">
        <v>0</v>
      </c>
      <c r="O1385" s="1">
        <v>46193.772291666668</v>
      </c>
    </row>
    <row r="1386" spans="1:15" x14ac:dyDescent="0.25">
      <c r="A1386">
        <v>-2123884959</v>
      </c>
      <c r="B1386" t="s">
        <v>849</v>
      </c>
      <c r="G1386">
        <v>41</v>
      </c>
      <c r="H1386" t="s">
        <v>29</v>
      </c>
      <c r="I1386">
        <v>1000</v>
      </c>
      <c r="J1386">
        <v>996.4</v>
      </c>
      <c r="L1386" t="s">
        <v>12</v>
      </c>
      <c r="M1386" t="b">
        <v>0</v>
      </c>
      <c r="O1386" s="1">
        <v>46193.772291666668</v>
      </c>
    </row>
    <row r="1387" spans="1:15" x14ac:dyDescent="0.25">
      <c r="A1387">
        <v>-1230564082</v>
      </c>
      <c r="B1387" t="s">
        <v>849</v>
      </c>
      <c r="G1387">
        <v>58</v>
      </c>
      <c r="H1387" t="s">
        <v>32</v>
      </c>
      <c r="I1387">
        <v>550</v>
      </c>
      <c r="J1387">
        <v>554.6</v>
      </c>
      <c r="L1387" t="s">
        <v>12</v>
      </c>
      <c r="M1387" t="b">
        <v>0</v>
      </c>
      <c r="O1387" s="1">
        <v>46193.772291666668</v>
      </c>
    </row>
    <row r="1388" spans="1:15" x14ac:dyDescent="0.25">
      <c r="A1388">
        <v>-1245100169</v>
      </c>
      <c r="B1388" t="s">
        <v>849</v>
      </c>
      <c r="G1388">
        <v>35</v>
      </c>
      <c r="H1388" t="s">
        <v>36</v>
      </c>
      <c r="I1388">
        <v>32</v>
      </c>
      <c r="J1388">
        <v>32.4</v>
      </c>
      <c r="L1388" t="s">
        <v>15</v>
      </c>
      <c r="M1388" t="b">
        <v>0</v>
      </c>
      <c r="O1388" s="1">
        <v>46193.772291666668</v>
      </c>
    </row>
    <row r="1389" spans="1:15" x14ac:dyDescent="0.25">
      <c r="A1389">
        <v>-1789494804</v>
      </c>
      <c r="B1389" t="s">
        <v>849</v>
      </c>
      <c r="G1389">
        <v>16</v>
      </c>
      <c r="H1389" t="s">
        <v>13</v>
      </c>
      <c r="I1389">
        <v>25</v>
      </c>
      <c r="J1389">
        <v>27.2</v>
      </c>
      <c r="L1389" t="s">
        <v>15</v>
      </c>
      <c r="M1389" t="b">
        <v>0</v>
      </c>
      <c r="O1389" s="1">
        <v>46193.772291666668</v>
      </c>
    </row>
    <row r="1390" spans="1:15" x14ac:dyDescent="0.25">
      <c r="A1390">
        <v>-792889731</v>
      </c>
      <c r="B1390" t="s">
        <v>850</v>
      </c>
      <c r="C1390" t="s">
        <v>847</v>
      </c>
      <c r="D1390" t="s">
        <v>596</v>
      </c>
      <c r="E1390" t="s">
        <v>340</v>
      </c>
      <c r="F1390">
        <v>50</v>
      </c>
      <c r="K1390" s="1">
        <v>46193.77516203704</v>
      </c>
      <c r="M1390" t="b">
        <v>0</v>
      </c>
      <c r="O1390" s="1">
        <v>46193.77516203704</v>
      </c>
    </row>
    <row r="1391" spans="1:15" x14ac:dyDescent="0.25">
      <c r="A1391">
        <v>-670948870</v>
      </c>
      <c r="B1391" t="s">
        <v>850</v>
      </c>
      <c r="G1391">
        <v>41</v>
      </c>
      <c r="H1391" t="s">
        <v>29</v>
      </c>
      <c r="I1391">
        <v>350</v>
      </c>
      <c r="J1391">
        <v>353.3</v>
      </c>
      <c r="L1391" t="s">
        <v>12</v>
      </c>
      <c r="M1391" t="b">
        <v>0</v>
      </c>
      <c r="O1391" s="1">
        <v>46193.77516203704</v>
      </c>
    </row>
    <row r="1392" spans="1:15" x14ac:dyDescent="0.25">
      <c r="A1392">
        <v>-10054413</v>
      </c>
      <c r="B1392" t="s">
        <v>850</v>
      </c>
      <c r="G1392">
        <v>35</v>
      </c>
      <c r="H1392" t="s">
        <v>36</v>
      </c>
      <c r="I1392">
        <v>150</v>
      </c>
      <c r="J1392">
        <v>151.69999999999999</v>
      </c>
      <c r="L1392" t="s">
        <v>15</v>
      </c>
      <c r="M1392" t="b">
        <v>0</v>
      </c>
      <c r="O1392" s="1">
        <v>46193.77516203704</v>
      </c>
    </row>
    <row r="1393" spans="1:15" x14ac:dyDescent="0.25">
      <c r="A1393">
        <v>-862289736</v>
      </c>
      <c r="B1393" t="s">
        <v>850</v>
      </c>
      <c r="G1393">
        <v>16</v>
      </c>
      <c r="H1393" t="s">
        <v>13</v>
      </c>
      <c r="I1393">
        <v>40</v>
      </c>
      <c r="J1393">
        <v>39.9</v>
      </c>
      <c r="L1393" t="s">
        <v>12</v>
      </c>
      <c r="M1393" t="b">
        <v>0</v>
      </c>
      <c r="O1393" s="1">
        <v>46193.77516203704</v>
      </c>
    </row>
    <row r="1394" spans="1:15" x14ac:dyDescent="0.25">
      <c r="A1394">
        <v>-1858707119</v>
      </c>
      <c r="B1394" t="s">
        <v>851</v>
      </c>
      <c r="C1394" t="s">
        <v>525</v>
      </c>
      <c r="D1394" t="s">
        <v>526</v>
      </c>
      <c r="E1394" t="s">
        <v>336</v>
      </c>
      <c r="F1394">
        <v>50</v>
      </c>
      <c r="K1394" s="1">
        <v>46193.784074074072</v>
      </c>
      <c r="M1394" t="b">
        <v>0</v>
      </c>
      <c r="O1394" s="1">
        <v>46193.784074074072</v>
      </c>
    </row>
    <row r="1395" spans="1:15" x14ac:dyDescent="0.25">
      <c r="A1395">
        <v>-516038338</v>
      </c>
      <c r="B1395" t="s">
        <v>851</v>
      </c>
      <c r="G1395">
        <v>41</v>
      </c>
      <c r="H1395" t="s">
        <v>29</v>
      </c>
      <c r="I1395">
        <v>1335</v>
      </c>
      <c r="J1395">
        <v>1327</v>
      </c>
      <c r="L1395" t="s">
        <v>12</v>
      </c>
      <c r="M1395" t="b">
        <v>0</v>
      </c>
      <c r="O1395" s="1">
        <v>46193.784074074072</v>
      </c>
    </row>
    <row r="1396" spans="1:15" x14ac:dyDescent="0.25">
      <c r="A1396">
        <v>-910275609</v>
      </c>
      <c r="B1396" t="s">
        <v>851</v>
      </c>
      <c r="G1396">
        <v>4</v>
      </c>
      <c r="H1396" t="s">
        <v>27</v>
      </c>
      <c r="I1396">
        <v>400</v>
      </c>
      <c r="J1396">
        <v>398.7</v>
      </c>
      <c r="L1396" t="s">
        <v>12</v>
      </c>
      <c r="M1396" t="b">
        <v>0</v>
      </c>
      <c r="O1396" s="1">
        <v>46193.784074074072</v>
      </c>
    </row>
    <row r="1397" spans="1:15" x14ac:dyDescent="0.25">
      <c r="A1397">
        <v>242845344</v>
      </c>
      <c r="B1397" t="s">
        <v>852</v>
      </c>
      <c r="C1397" t="s">
        <v>379</v>
      </c>
      <c r="D1397" t="s">
        <v>380</v>
      </c>
      <c r="E1397" t="s">
        <v>364</v>
      </c>
      <c r="F1397">
        <v>120</v>
      </c>
      <c r="K1397" s="1">
        <v>46193.863032407404</v>
      </c>
      <c r="M1397" t="b">
        <v>0</v>
      </c>
      <c r="O1397" s="1">
        <v>46193.863032407404</v>
      </c>
    </row>
    <row r="1398" spans="1:15" x14ac:dyDescent="0.25">
      <c r="A1398">
        <v>1112566305</v>
      </c>
      <c r="B1398" t="s">
        <v>852</v>
      </c>
      <c r="G1398">
        <v>41</v>
      </c>
      <c r="H1398" t="s">
        <v>29</v>
      </c>
      <c r="I1398">
        <v>600</v>
      </c>
      <c r="J1398">
        <v>600.6</v>
      </c>
      <c r="L1398" t="s">
        <v>12</v>
      </c>
      <c r="M1398" t="b">
        <v>0</v>
      </c>
      <c r="O1398" s="1">
        <v>46193.863032407404</v>
      </c>
    </row>
    <row r="1399" spans="1:15" x14ac:dyDescent="0.25">
      <c r="A1399">
        <v>-1682930115</v>
      </c>
      <c r="B1399" t="s">
        <v>853</v>
      </c>
      <c r="C1399" t="s">
        <v>854</v>
      </c>
      <c r="D1399" t="s">
        <v>478</v>
      </c>
      <c r="E1399" t="s">
        <v>336</v>
      </c>
      <c r="F1399">
        <v>450</v>
      </c>
      <c r="K1399" s="1">
        <v>46193.876157407409</v>
      </c>
      <c r="M1399" t="b">
        <v>0</v>
      </c>
      <c r="O1399" s="1">
        <v>46193.876157407409</v>
      </c>
    </row>
    <row r="1400" spans="1:15" x14ac:dyDescent="0.25">
      <c r="A1400">
        <v>350381754</v>
      </c>
      <c r="B1400" t="s">
        <v>853</v>
      </c>
      <c r="G1400">
        <v>41</v>
      </c>
      <c r="H1400" t="s">
        <v>29</v>
      </c>
      <c r="I1400">
        <v>8338.5</v>
      </c>
      <c r="J1400">
        <v>8301.6</v>
      </c>
      <c r="L1400" t="s">
        <v>12</v>
      </c>
      <c r="M1400" t="b">
        <v>0</v>
      </c>
      <c r="O1400" s="1">
        <v>46193.876157407409</v>
      </c>
    </row>
    <row r="1401" spans="1:15" x14ac:dyDescent="0.25">
      <c r="A1401">
        <v>-1600705869</v>
      </c>
      <c r="B1401" t="s">
        <v>853</v>
      </c>
      <c r="G1401">
        <v>35</v>
      </c>
      <c r="H1401" t="s">
        <v>36</v>
      </c>
      <c r="I1401">
        <v>801</v>
      </c>
      <c r="J1401">
        <v>803.4</v>
      </c>
      <c r="L1401" t="s">
        <v>12</v>
      </c>
      <c r="M1401" t="b">
        <v>0</v>
      </c>
      <c r="O1401" s="1">
        <v>46193.876157407409</v>
      </c>
    </row>
    <row r="1402" spans="1:15" x14ac:dyDescent="0.25">
      <c r="A1402">
        <v>2024756088</v>
      </c>
      <c r="B1402" t="s">
        <v>853</v>
      </c>
      <c r="G1402">
        <v>44</v>
      </c>
      <c r="H1402" t="s">
        <v>16</v>
      </c>
      <c r="I1402">
        <v>256.5</v>
      </c>
      <c r="J1402">
        <v>257.2</v>
      </c>
      <c r="L1402" t="s">
        <v>12</v>
      </c>
      <c r="M1402" t="b">
        <v>0</v>
      </c>
      <c r="O1402" s="1">
        <v>46193.876157407409</v>
      </c>
    </row>
    <row r="1403" spans="1:15" x14ac:dyDescent="0.25">
      <c r="A1403">
        <v>928802741</v>
      </c>
      <c r="B1403" t="s">
        <v>855</v>
      </c>
      <c r="C1403" t="s">
        <v>650</v>
      </c>
      <c r="D1403" t="s">
        <v>383</v>
      </c>
      <c r="E1403" t="s">
        <v>313</v>
      </c>
      <c r="F1403">
        <v>50</v>
      </c>
      <c r="K1403" s="1">
        <v>46193.890208333331</v>
      </c>
      <c r="M1403" t="b">
        <v>0</v>
      </c>
      <c r="O1403" s="1">
        <v>46193.890208333331</v>
      </c>
    </row>
    <row r="1404" spans="1:15" x14ac:dyDescent="0.25">
      <c r="A1404">
        <v>-458565422</v>
      </c>
      <c r="B1404" t="s">
        <v>855</v>
      </c>
      <c r="G1404">
        <v>58</v>
      </c>
      <c r="H1404" t="s">
        <v>32</v>
      </c>
      <c r="I1404">
        <v>900</v>
      </c>
      <c r="J1404">
        <v>906.4</v>
      </c>
      <c r="L1404" t="s">
        <v>12</v>
      </c>
      <c r="M1404" t="b">
        <v>0</v>
      </c>
      <c r="O1404" s="1">
        <v>46193.890208333331</v>
      </c>
    </row>
    <row r="1405" spans="1:15" x14ac:dyDescent="0.25">
      <c r="A1405">
        <v>1263847659</v>
      </c>
      <c r="B1405" t="s">
        <v>855</v>
      </c>
      <c r="G1405">
        <v>41</v>
      </c>
      <c r="H1405" t="s">
        <v>29</v>
      </c>
      <c r="I1405">
        <v>288</v>
      </c>
      <c r="J1405">
        <v>286.8</v>
      </c>
      <c r="L1405" t="s">
        <v>12</v>
      </c>
      <c r="M1405" t="b">
        <v>0</v>
      </c>
      <c r="O1405" s="1">
        <v>46193.890208333331</v>
      </c>
    </row>
    <row r="1406" spans="1:15" x14ac:dyDescent="0.25">
      <c r="A1406">
        <v>1311404880</v>
      </c>
      <c r="B1406" t="s">
        <v>855</v>
      </c>
      <c r="G1406">
        <v>35</v>
      </c>
      <c r="H1406" t="s">
        <v>36</v>
      </c>
      <c r="I1406">
        <v>273.5</v>
      </c>
      <c r="J1406">
        <v>274</v>
      </c>
      <c r="L1406" t="s">
        <v>12</v>
      </c>
      <c r="M1406" t="b">
        <v>0</v>
      </c>
      <c r="O1406" s="1">
        <v>46193.890208333331</v>
      </c>
    </row>
    <row r="1407" spans="1:15" x14ac:dyDescent="0.25">
      <c r="A1407">
        <v>621815057</v>
      </c>
      <c r="B1407" t="s">
        <v>855</v>
      </c>
      <c r="G1407">
        <v>44</v>
      </c>
      <c r="H1407" t="s">
        <v>16</v>
      </c>
      <c r="I1407">
        <v>35.4</v>
      </c>
      <c r="J1407">
        <v>36.4</v>
      </c>
      <c r="L1407" t="s">
        <v>15</v>
      </c>
      <c r="M1407" t="b">
        <v>0</v>
      </c>
      <c r="O1407" s="1">
        <v>46193.890208333331</v>
      </c>
    </row>
    <row r="1408" spans="1:15" x14ac:dyDescent="0.25">
      <c r="A1408">
        <v>577943135</v>
      </c>
      <c r="B1408" t="s">
        <v>856</v>
      </c>
      <c r="C1408" t="s">
        <v>516</v>
      </c>
      <c r="D1408" t="s">
        <v>380</v>
      </c>
      <c r="E1408" t="s">
        <v>340</v>
      </c>
      <c r="F1408">
        <v>50</v>
      </c>
      <c r="K1408" s="1">
        <v>46193.922893518517</v>
      </c>
      <c r="M1408" t="b">
        <v>0</v>
      </c>
      <c r="O1408" s="1">
        <v>46193.922893518517</v>
      </c>
    </row>
    <row r="1409" spans="1:15" x14ac:dyDescent="0.25">
      <c r="A1409">
        <v>449013940</v>
      </c>
      <c r="B1409" t="s">
        <v>856</v>
      </c>
      <c r="G1409">
        <v>41</v>
      </c>
      <c r="H1409" t="s">
        <v>29</v>
      </c>
      <c r="I1409">
        <v>325</v>
      </c>
      <c r="J1409">
        <v>322.8</v>
      </c>
      <c r="L1409" t="s">
        <v>12</v>
      </c>
      <c r="M1409" t="b">
        <v>0</v>
      </c>
      <c r="O1409" s="1">
        <v>46193.922893518517</v>
      </c>
    </row>
    <row r="1410" spans="1:15" x14ac:dyDescent="0.25">
      <c r="A1410">
        <v>-311746651</v>
      </c>
      <c r="B1410" t="s">
        <v>856</v>
      </c>
      <c r="G1410">
        <v>35</v>
      </c>
      <c r="H1410" t="s">
        <v>36</v>
      </c>
      <c r="I1410">
        <v>9</v>
      </c>
      <c r="J1410">
        <v>9.1</v>
      </c>
      <c r="L1410" t="s">
        <v>15</v>
      </c>
      <c r="M1410" t="b">
        <v>0</v>
      </c>
      <c r="O1410" s="1">
        <v>46193.922893518517</v>
      </c>
    </row>
    <row r="1411" spans="1:15" x14ac:dyDescent="0.25">
      <c r="A1411">
        <v>1786957314</v>
      </c>
      <c r="B1411" t="s">
        <v>856</v>
      </c>
      <c r="G1411">
        <v>16</v>
      </c>
      <c r="H1411" t="s">
        <v>13</v>
      </c>
      <c r="I1411">
        <v>15</v>
      </c>
      <c r="J1411">
        <v>15.1</v>
      </c>
      <c r="L1411" t="s">
        <v>12</v>
      </c>
      <c r="M1411" t="b">
        <v>0</v>
      </c>
      <c r="O1411" s="1">
        <v>46193.922893518517</v>
      </c>
    </row>
    <row r="1412" spans="1:15" x14ac:dyDescent="0.25">
      <c r="A1412">
        <v>882115163</v>
      </c>
      <c r="B1412" t="s">
        <v>857</v>
      </c>
      <c r="C1412" t="s">
        <v>545</v>
      </c>
      <c r="D1412">
        <v>316053</v>
      </c>
      <c r="E1412" t="s">
        <v>313</v>
      </c>
      <c r="F1412">
        <v>100</v>
      </c>
      <c r="K1412" s="1">
        <v>46193.928530092591</v>
      </c>
      <c r="M1412" t="b">
        <v>0</v>
      </c>
      <c r="O1412" s="1">
        <v>46193.928530092591</v>
      </c>
    </row>
    <row r="1413" spans="1:15" x14ac:dyDescent="0.25">
      <c r="A1413">
        <v>1206004736</v>
      </c>
      <c r="B1413" t="s">
        <v>857</v>
      </c>
      <c r="G1413">
        <v>41</v>
      </c>
      <c r="H1413" t="s">
        <v>29</v>
      </c>
      <c r="I1413">
        <v>390</v>
      </c>
      <c r="J1413">
        <v>387.7</v>
      </c>
      <c r="L1413" t="s">
        <v>12</v>
      </c>
      <c r="M1413" t="b">
        <v>0</v>
      </c>
      <c r="O1413" s="1">
        <v>46193.928530092591</v>
      </c>
    </row>
    <row r="1414" spans="1:15" x14ac:dyDescent="0.25">
      <c r="A1414">
        <v>-699810815</v>
      </c>
      <c r="B1414" t="s">
        <v>857</v>
      </c>
      <c r="G1414">
        <v>58</v>
      </c>
      <c r="H1414" t="s">
        <v>32</v>
      </c>
      <c r="I1414">
        <v>338</v>
      </c>
      <c r="J1414">
        <v>338.5</v>
      </c>
      <c r="L1414" t="s">
        <v>12</v>
      </c>
      <c r="M1414" t="b">
        <v>0</v>
      </c>
      <c r="O1414" s="1">
        <v>46193.928530092591</v>
      </c>
    </row>
    <row r="1415" spans="1:15" x14ac:dyDescent="0.25">
      <c r="A1415">
        <v>-1524698578</v>
      </c>
      <c r="B1415" t="s">
        <v>857</v>
      </c>
      <c r="G1415">
        <v>35</v>
      </c>
      <c r="H1415" t="s">
        <v>36</v>
      </c>
      <c r="I1415">
        <v>88</v>
      </c>
      <c r="J1415">
        <v>88</v>
      </c>
      <c r="L1415" t="s">
        <v>12</v>
      </c>
      <c r="M1415" t="b">
        <v>0</v>
      </c>
      <c r="O1415" s="1">
        <v>46193.928530092591</v>
      </c>
    </row>
    <row r="1416" spans="1:15" x14ac:dyDescent="0.25">
      <c r="A1416">
        <v>-108665321</v>
      </c>
      <c r="B1416" t="s">
        <v>857</v>
      </c>
      <c r="G1416">
        <v>16</v>
      </c>
      <c r="H1416" t="s">
        <v>13</v>
      </c>
      <c r="I1416">
        <v>29</v>
      </c>
      <c r="J1416">
        <v>29.2</v>
      </c>
      <c r="L1416" t="s">
        <v>12</v>
      </c>
      <c r="M1416" t="b">
        <v>0</v>
      </c>
      <c r="O1416" s="1">
        <v>46193.928530092591</v>
      </c>
    </row>
    <row r="1417" spans="1:15" x14ac:dyDescent="0.25">
      <c r="A1417">
        <v>2080513036</v>
      </c>
      <c r="B1417" t="s">
        <v>857</v>
      </c>
      <c r="G1417">
        <v>59</v>
      </c>
      <c r="H1417" t="s">
        <v>31</v>
      </c>
      <c r="I1417">
        <v>79</v>
      </c>
      <c r="J1417">
        <v>79.599999999999994</v>
      </c>
      <c r="L1417" t="s">
        <v>12</v>
      </c>
      <c r="M1417" t="b">
        <v>0</v>
      </c>
      <c r="O1417" s="1">
        <v>46193.928530092591</v>
      </c>
    </row>
    <row r="1418" spans="1:15" x14ac:dyDescent="0.25">
      <c r="A1418">
        <v>2022815261</v>
      </c>
      <c r="B1418" t="s">
        <v>858</v>
      </c>
      <c r="C1418" t="s">
        <v>847</v>
      </c>
      <c r="D1418" t="s">
        <v>596</v>
      </c>
      <c r="E1418" t="s">
        <v>340</v>
      </c>
      <c r="F1418">
        <v>50</v>
      </c>
      <c r="K1418" s="1">
        <v>46193.932789351849</v>
      </c>
      <c r="M1418" t="b">
        <v>0</v>
      </c>
      <c r="O1418" s="1">
        <v>46193.932789351849</v>
      </c>
    </row>
    <row r="1419" spans="1:15" x14ac:dyDescent="0.25">
      <c r="A1419">
        <v>-780463846</v>
      </c>
      <c r="B1419" t="s">
        <v>858</v>
      </c>
      <c r="G1419">
        <v>41</v>
      </c>
      <c r="H1419" t="s">
        <v>29</v>
      </c>
      <c r="I1419">
        <v>905</v>
      </c>
      <c r="J1419">
        <v>901.3</v>
      </c>
      <c r="L1419" t="s">
        <v>12</v>
      </c>
      <c r="M1419" t="b">
        <v>0</v>
      </c>
      <c r="O1419" s="1">
        <v>46193.932789351849</v>
      </c>
    </row>
    <row r="1420" spans="1:15" x14ac:dyDescent="0.25">
      <c r="A1420">
        <v>-1468047981</v>
      </c>
      <c r="B1420" t="s">
        <v>858</v>
      </c>
      <c r="G1420">
        <v>35</v>
      </c>
      <c r="H1420" t="s">
        <v>36</v>
      </c>
      <c r="I1420">
        <v>157</v>
      </c>
      <c r="J1420">
        <v>157</v>
      </c>
      <c r="L1420" t="s">
        <v>12</v>
      </c>
      <c r="M1420" t="b">
        <v>0</v>
      </c>
      <c r="O1420" s="1">
        <v>46193.932789351849</v>
      </c>
    </row>
    <row r="1421" spans="1:15" x14ac:dyDescent="0.25">
      <c r="A1421">
        <v>-768244520</v>
      </c>
      <c r="B1421" t="s">
        <v>858</v>
      </c>
      <c r="G1421">
        <v>16</v>
      </c>
      <c r="H1421" t="s">
        <v>13</v>
      </c>
      <c r="I1421">
        <v>54.5</v>
      </c>
      <c r="J1421">
        <v>54</v>
      </c>
      <c r="L1421" t="s">
        <v>12</v>
      </c>
      <c r="M1421" t="b">
        <v>0</v>
      </c>
      <c r="O1421" s="1">
        <v>46193.932789351849</v>
      </c>
    </row>
    <row r="1422" spans="1:15" x14ac:dyDescent="0.25">
      <c r="A1422">
        <v>113404409</v>
      </c>
      <c r="B1422" t="s">
        <v>859</v>
      </c>
      <c r="C1422" t="s">
        <v>650</v>
      </c>
      <c r="D1422" t="s">
        <v>383</v>
      </c>
      <c r="E1422" t="s">
        <v>313</v>
      </c>
      <c r="F1422">
        <v>50</v>
      </c>
      <c r="K1422" s="1">
        <v>46193.937106481484</v>
      </c>
      <c r="M1422" t="b">
        <v>0</v>
      </c>
      <c r="O1422" s="1">
        <v>46193.937106481484</v>
      </c>
    </row>
    <row r="1423" spans="1:15" x14ac:dyDescent="0.25">
      <c r="A1423">
        <v>1017272006</v>
      </c>
      <c r="B1423" t="s">
        <v>859</v>
      </c>
      <c r="G1423">
        <v>58</v>
      </c>
      <c r="H1423" t="s">
        <v>32</v>
      </c>
      <c r="I1423">
        <v>600</v>
      </c>
      <c r="J1423">
        <v>601.4</v>
      </c>
      <c r="L1423" t="s">
        <v>12</v>
      </c>
      <c r="M1423" t="b">
        <v>0</v>
      </c>
      <c r="O1423" s="1">
        <v>46193.937106481484</v>
      </c>
    </row>
    <row r="1424" spans="1:15" x14ac:dyDescent="0.25">
      <c r="A1424">
        <v>-704699185</v>
      </c>
      <c r="B1424" t="s">
        <v>859</v>
      </c>
      <c r="G1424">
        <v>41</v>
      </c>
      <c r="H1424" t="s">
        <v>29</v>
      </c>
      <c r="I1424">
        <v>300</v>
      </c>
      <c r="J1424">
        <v>297.39999999999998</v>
      </c>
      <c r="L1424" t="s">
        <v>12</v>
      </c>
      <c r="M1424" t="b">
        <v>0</v>
      </c>
      <c r="O1424" s="1">
        <v>46193.937106481484</v>
      </c>
    </row>
    <row r="1425" spans="1:15" x14ac:dyDescent="0.25">
      <c r="A1425">
        <v>1101754980</v>
      </c>
      <c r="B1425" t="s">
        <v>859</v>
      </c>
      <c r="G1425">
        <v>35</v>
      </c>
      <c r="H1425" t="s">
        <v>36</v>
      </c>
      <c r="I1425">
        <v>50</v>
      </c>
      <c r="J1425">
        <v>49.4</v>
      </c>
      <c r="L1425" t="s">
        <v>15</v>
      </c>
      <c r="M1425" t="b">
        <v>0</v>
      </c>
      <c r="O1425" s="1">
        <v>46193.937106481484</v>
      </c>
    </row>
    <row r="1426" spans="1:15" x14ac:dyDescent="0.25">
      <c r="A1426">
        <v>954790805</v>
      </c>
      <c r="B1426" t="s">
        <v>859</v>
      </c>
      <c r="G1426">
        <v>44</v>
      </c>
      <c r="H1426" t="s">
        <v>16</v>
      </c>
      <c r="I1426">
        <v>38</v>
      </c>
      <c r="J1426">
        <v>41.6</v>
      </c>
      <c r="L1426" t="s">
        <v>15</v>
      </c>
      <c r="M1426" t="b">
        <v>0</v>
      </c>
      <c r="O1426" s="1">
        <v>46193.937106481484</v>
      </c>
    </row>
    <row r="1427" spans="1:15" x14ac:dyDescent="0.25">
      <c r="A1427">
        <v>345723527</v>
      </c>
      <c r="B1427" t="s">
        <v>860</v>
      </c>
      <c r="C1427" t="s">
        <v>345</v>
      </c>
      <c r="D1427" t="s">
        <v>371</v>
      </c>
      <c r="E1427" t="s">
        <v>336</v>
      </c>
      <c r="F1427">
        <v>50</v>
      </c>
      <c r="K1427" s="1">
        <v>46194.026226851849</v>
      </c>
      <c r="M1427" t="b">
        <v>0</v>
      </c>
      <c r="O1427" s="1">
        <v>46194.026226851849</v>
      </c>
    </row>
    <row r="1428" spans="1:15" x14ac:dyDescent="0.25">
      <c r="A1428">
        <v>1781713852</v>
      </c>
      <c r="B1428" t="s">
        <v>860</v>
      </c>
      <c r="G1428">
        <v>41</v>
      </c>
      <c r="H1428" t="s">
        <v>29</v>
      </c>
      <c r="I1428">
        <v>225</v>
      </c>
      <c r="J1428">
        <v>224.5</v>
      </c>
      <c r="L1428" t="s">
        <v>12</v>
      </c>
      <c r="M1428" t="b">
        <v>0</v>
      </c>
      <c r="O1428" s="1">
        <v>46194.026226851849</v>
      </c>
    </row>
    <row r="1429" spans="1:15" x14ac:dyDescent="0.25">
      <c r="A1429">
        <v>-1862748147</v>
      </c>
      <c r="B1429" t="s">
        <v>860</v>
      </c>
      <c r="G1429">
        <v>35</v>
      </c>
      <c r="H1429" t="s">
        <v>36</v>
      </c>
      <c r="I1429">
        <v>30</v>
      </c>
      <c r="J1429">
        <v>29.8</v>
      </c>
      <c r="L1429" t="s">
        <v>12</v>
      </c>
      <c r="M1429" t="b">
        <v>0</v>
      </c>
      <c r="O1429" s="1">
        <v>46194.026226851849</v>
      </c>
    </row>
    <row r="1430" spans="1:15" x14ac:dyDescent="0.25">
      <c r="A1430">
        <v>1934886986</v>
      </c>
      <c r="B1430" t="s">
        <v>860</v>
      </c>
      <c r="G1430">
        <v>44</v>
      </c>
      <c r="H1430" t="s">
        <v>16</v>
      </c>
      <c r="I1430">
        <v>14</v>
      </c>
      <c r="J1430">
        <v>15.3</v>
      </c>
      <c r="L1430" t="s">
        <v>15</v>
      </c>
      <c r="M1430" t="b">
        <v>0</v>
      </c>
      <c r="O1430" s="1">
        <v>46194.026226851849</v>
      </c>
    </row>
    <row r="1431" spans="1:15" x14ac:dyDescent="0.25">
      <c r="A1431">
        <v>833443325</v>
      </c>
      <c r="B1431" t="s">
        <v>861</v>
      </c>
      <c r="C1431" t="s">
        <v>349</v>
      </c>
      <c r="D1431" t="s">
        <v>350</v>
      </c>
      <c r="E1431" t="s">
        <v>313</v>
      </c>
      <c r="F1431">
        <v>450</v>
      </c>
      <c r="K1431" s="1">
        <v>46194.090451388889</v>
      </c>
      <c r="M1431" t="b">
        <v>0</v>
      </c>
      <c r="O1431" s="1">
        <v>46194.090451388889</v>
      </c>
    </row>
    <row r="1432" spans="1:15" x14ac:dyDescent="0.25">
      <c r="A1432">
        <v>-990286982</v>
      </c>
      <c r="B1432" t="s">
        <v>861</v>
      </c>
      <c r="G1432">
        <v>41</v>
      </c>
      <c r="H1432" t="s">
        <v>29</v>
      </c>
      <c r="I1432">
        <v>6201</v>
      </c>
      <c r="J1432">
        <v>6207.5</v>
      </c>
      <c r="L1432" t="s">
        <v>12</v>
      </c>
      <c r="M1432" t="b">
        <v>0</v>
      </c>
      <c r="O1432" s="1">
        <v>46194.090451388889</v>
      </c>
    </row>
    <row r="1433" spans="1:15" x14ac:dyDescent="0.25">
      <c r="A1433">
        <v>-1293451149</v>
      </c>
      <c r="B1433" t="s">
        <v>861</v>
      </c>
      <c r="G1433">
        <v>35</v>
      </c>
      <c r="H1433" t="s">
        <v>36</v>
      </c>
      <c r="I1433">
        <v>1228.5</v>
      </c>
      <c r="J1433">
        <v>1216.3</v>
      </c>
      <c r="L1433" t="s">
        <v>12</v>
      </c>
      <c r="M1433" t="b">
        <v>0</v>
      </c>
      <c r="O1433" s="1">
        <v>46194.090451388889</v>
      </c>
    </row>
    <row r="1434" spans="1:15" x14ac:dyDescent="0.25">
      <c r="A1434">
        <v>-1915165128</v>
      </c>
      <c r="B1434" t="s">
        <v>861</v>
      </c>
      <c r="G1434">
        <v>16</v>
      </c>
      <c r="H1434" t="s">
        <v>13</v>
      </c>
      <c r="I1434">
        <v>153</v>
      </c>
      <c r="J1434">
        <v>154.1</v>
      </c>
      <c r="L1434" t="s">
        <v>12</v>
      </c>
      <c r="M1434" t="b">
        <v>0</v>
      </c>
      <c r="O1434" s="1">
        <v>46194.090451388889</v>
      </c>
    </row>
    <row r="1435" spans="1:15" x14ac:dyDescent="0.25">
      <c r="A1435">
        <v>-1324903597</v>
      </c>
      <c r="B1435" t="s">
        <v>862</v>
      </c>
      <c r="C1435" t="s">
        <v>338</v>
      </c>
      <c r="D1435" t="s">
        <v>863</v>
      </c>
      <c r="E1435" t="s">
        <v>336</v>
      </c>
      <c r="F1435">
        <v>50</v>
      </c>
      <c r="K1435" s="1">
        <v>46194.272650462961</v>
      </c>
      <c r="M1435" t="b">
        <v>0</v>
      </c>
      <c r="O1435" s="1">
        <v>46194.272650462961</v>
      </c>
    </row>
    <row r="1436" spans="1:15" x14ac:dyDescent="0.25">
      <c r="A1436">
        <v>1651603352</v>
      </c>
      <c r="B1436" t="s">
        <v>862</v>
      </c>
      <c r="G1436">
        <v>41</v>
      </c>
      <c r="H1436" t="s">
        <v>29</v>
      </c>
      <c r="I1436">
        <v>515</v>
      </c>
      <c r="J1436">
        <v>515.4</v>
      </c>
      <c r="L1436" t="s">
        <v>12</v>
      </c>
      <c r="M1436" t="b">
        <v>0</v>
      </c>
      <c r="O1436" s="1">
        <v>46194.272650462961</v>
      </c>
    </row>
    <row r="1437" spans="1:15" x14ac:dyDescent="0.25">
      <c r="A1437">
        <v>761566649</v>
      </c>
      <c r="B1437" t="s">
        <v>862</v>
      </c>
      <c r="G1437">
        <v>11</v>
      </c>
      <c r="H1437" t="s">
        <v>33</v>
      </c>
      <c r="I1437">
        <v>30</v>
      </c>
      <c r="J1437">
        <v>30</v>
      </c>
      <c r="L1437" t="s">
        <v>12</v>
      </c>
      <c r="M1437" t="b">
        <v>0</v>
      </c>
      <c r="O1437" s="1">
        <v>46194.272650462961</v>
      </c>
    </row>
    <row r="1438" spans="1:15" x14ac:dyDescent="0.25">
      <c r="A1438">
        <v>-361592954</v>
      </c>
      <c r="B1438" t="s">
        <v>862</v>
      </c>
      <c r="G1438">
        <v>0</v>
      </c>
      <c r="H1438" t="s">
        <v>193</v>
      </c>
      <c r="I1438">
        <v>150</v>
      </c>
      <c r="J1438">
        <v>150.1</v>
      </c>
      <c r="L1438" t="s">
        <v>12</v>
      </c>
      <c r="M1438" t="b">
        <v>0</v>
      </c>
      <c r="O1438" s="1">
        <v>46194.272650462961</v>
      </c>
    </row>
    <row r="1439" spans="1:15" x14ac:dyDescent="0.25">
      <c r="A1439">
        <v>-547080561</v>
      </c>
      <c r="B1439" t="s">
        <v>864</v>
      </c>
      <c r="C1439" t="s">
        <v>865</v>
      </c>
      <c r="D1439">
        <v>867</v>
      </c>
      <c r="E1439" t="s">
        <v>313</v>
      </c>
      <c r="F1439">
        <v>50</v>
      </c>
      <c r="K1439" s="1">
        <v>46194.276886574073</v>
      </c>
      <c r="M1439" t="b">
        <v>0</v>
      </c>
      <c r="O1439" s="1">
        <v>46194.276886574073</v>
      </c>
    </row>
    <row r="1440" spans="1:15" x14ac:dyDescent="0.25">
      <c r="A1440">
        <v>1717702948</v>
      </c>
      <c r="B1440" t="s">
        <v>864</v>
      </c>
      <c r="G1440">
        <v>41</v>
      </c>
      <c r="H1440" t="s">
        <v>29</v>
      </c>
      <c r="I1440">
        <v>825</v>
      </c>
      <c r="J1440">
        <v>825.5</v>
      </c>
      <c r="L1440" t="s">
        <v>12</v>
      </c>
      <c r="M1440" t="b">
        <v>0</v>
      </c>
      <c r="O1440" s="1">
        <v>46194.276886574073</v>
      </c>
    </row>
    <row r="1441" spans="1:15" x14ac:dyDescent="0.25">
      <c r="A1441">
        <v>-1348248747</v>
      </c>
      <c r="B1441" t="s">
        <v>864</v>
      </c>
      <c r="G1441">
        <v>47</v>
      </c>
      <c r="H1441" t="s">
        <v>21</v>
      </c>
      <c r="I1441">
        <v>205</v>
      </c>
      <c r="J1441">
        <v>204.9</v>
      </c>
      <c r="L1441" t="s">
        <v>12</v>
      </c>
      <c r="M1441" t="b">
        <v>0</v>
      </c>
      <c r="O1441" s="1">
        <v>46194.276886574073</v>
      </c>
    </row>
    <row r="1442" spans="1:15" x14ac:dyDescent="0.25">
      <c r="A1442">
        <v>-1878692878</v>
      </c>
      <c r="B1442" t="s">
        <v>864</v>
      </c>
      <c r="G1442">
        <v>4</v>
      </c>
      <c r="H1442" t="s">
        <v>27</v>
      </c>
      <c r="I1442">
        <v>240</v>
      </c>
      <c r="J1442">
        <v>241.1</v>
      </c>
      <c r="L1442" t="s">
        <v>12</v>
      </c>
      <c r="M1442" t="b">
        <v>0</v>
      </c>
      <c r="O1442" s="1">
        <v>46194.276886574073</v>
      </c>
    </row>
    <row r="1443" spans="1:15" x14ac:dyDescent="0.25">
      <c r="A1443">
        <v>-227580533</v>
      </c>
      <c r="B1443" t="s">
        <v>866</v>
      </c>
      <c r="C1443" t="s">
        <v>439</v>
      </c>
      <c r="D1443" t="s">
        <v>440</v>
      </c>
      <c r="E1443" t="s">
        <v>340</v>
      </c>
      <c r="F1443">
        <v>120</v>
      </c>
      <c r="K1443" s="1">
        <v>46194.283541666664</v>
      </c>
      <c r="M1443" t="b">
        <v>0</v>
      </c>
      <c r="O1443" s="1">
        <v>46194.283541666664</v>
      </c>
    </row>
    <row r="1444" spans="1:15" x14ac:dyDescent="0.25">
      <c r="A1444">
        <v>-1634747536</v>
      </c>
      <c r="B1444" t="s">
        <v>866</v>
      </c>
      <c r="G1444">
        <v>41</v>
      </c>
      <c r="H1444" t="s">
        <v>29</v>
      </c>
      <c r="I1444">
        <v>600</v>
      </c>
      <c r="J1444">
        <v>603.4</v>
      </c>
      <c r="L1444" t="s">
        <v>12</v>
      </c>
      <c r="M1444" t="b">
        <v>0</v>
      </c>
      <c r="O1444" s="1">
        <v>46194.283541666664</v>
      </c>
    </row>
    <row r="1445" spans="1:15" x14ac:dyDescent="0.25">
      <c r="A1445">
        <v>-1381330255</v>
      </c>
      <c r="B1445" t="s">
        <v>866</v>
      </c>
      <c r="G1445">
        <v>70</v>
      </c>
      <c r="H1445" t="s">
        <v>167</v>
      </c>
      <c r="I1445">
        <v>81.599999999999994</v>
      </c>
      <c r="J1445">
        <v>82.5</v>
      </c>
      <c r="L1445" t="s">
        <v>15</v>
      </c>
      <c r="M1445" t="b">
        <v>0</v>
      </c>
      <c r="O1445" s="1">
        <v>46194.283541666664</v>
      </c>
    </row>
    <row r="1446" spans="1:15" x14ac:dyDescent="0.25">
      <c r="A1446">
        <v>-1106850018</v>
      </c>
      <c r="B1446" t="s">
        <v>866</v>
      </c>
      <c r="G1446">
        <v>44</v>
      </c>
      <c r="H1446" t="s">
        <v>16</v>
      </c>
      <c r="I1446">
        <v>12</v>
      </c>
      <c r="J1446">
        <v>11.9</v>
      </c>
      <c r="L1446" t="s">
        <v>12</v>
      </c>
      <c r="M1446" t="b">
        <v>0</v>
      </c>
      <c r="O1446" s="1">
        <v>46194.283541666664</v>
      </c>
    </row>
    <row r="1447" spans="1:15" x14ac:dyDescent="0.25">
      <c r="A1447">
        <v>-993591474</v>
      </c>
      <c r="B1447" t="s">
        <v>867</v>
      </c>
      <c r="C1447" t="s">
        <v>349</v>
      </c>
      <c r="D1447" t="s">
        <v>350</v>
      </c>
      <c r="E1447" t="s">
        <v>313</v>
      </c>
      <c r="F1447">
        <v>100</v>
      </c>
      <c r="K1447" s="1">
        <v>46194.34070601852</v>
      </c>
      <c r="M1447" t="b">
        <v>0</v>
      </c>
      <c r="O1447" s="1">
        <v>46194.34070601852</v>
      </c>
    </row>
    <row r="1448" spans="1:15" x14ac:dyDescent="0.25">
      <c r="A1448">
        <v>769324215</v>
      </c>
      <c r="B1448" t="s">
        <v>867</v>
      </c>
      <c r="G1448">
        <v>41</v>
      </c>
      <c r="H1448" t="s">
        <v>29</v>
      </c>
      <c r="I1448">
        <v>1378</v>
      </c>
      <c r="J1448">
        <v>1379.3</v>
      </c>
      <c r="L1448" t="s">
        <v>12</v>
      </c>
      <c r="M1448" t="b">
        <v>0</v>
      </c>
      <c r="O1448" s="1">
        <v>46194.34070601852</v>
      </c>
    </row>
    <row r="1449" spans="1:15" x14ac:dyDescent="0.25">
      <c r="A1449">
        <v>-1575391700</v>
      </c>
      <c r="B1449" t="s">
        <v>867</v>
      </c>
      <c r="G1449">
        <v>35</v>
      </c>
      <c r="H1449" t="s">
        <v>36</v>
      </c>
      <c r="I1449">
        <v>273</v>
      </c>
      <c r="J1449">
        <v>272.5</v>
      </c>
      <c r="L1449" t="s">
        <v>12</v>
      </c>
      <c r="M1449" t="b">
        <v>0</v>
      </c>
      <c r="O1449" s="1">
        <v>46194.34070601852</v>
      </c>
    </row>
    <row r="1450" spans="1:15" x14ac:dyDescent="0.25">
      <c r="A1450">
        <v>108258749</v>
      </c>
      <c r="B1450" t="s">
        <v>867</v>
      </c>
      <c r="G1450">
        <v>16</v>
      </c>
      <c r="H1450" t="s">
        <v>13</v>
      </c>
      <c r="I1450">
        <v>34</v>
      </c>
      <c r="J1450">
        <v>33.799999999999997</v>
      </c>
      <c r="L1450" t="s">
        <v>12</v>
      </c>
      <c r="M1450" t="b">
        <v>0</v>
      </c>
      <c r="O1450" s="1">
        <v>46194.34070601852</v>
      </c>
    </row>
    <row r="1451" spans="1:15" x14ac:dyDescent="0.25">
      <c r="A1451">
        <v>-251156506</v>
      </c>
      <c r="B1451" t="s">
        <v>868</v>
      </c>
      <c r="C1451" t="s">
        <v>382</v>
      </c>
      <c r="D1451" t="s">
        <v>771</v>
      </c>
      <c r="E1451" t="s">
        <v>364</v>
      </c>
      <c r="F1451">
        <v>280</v>
      </c>
      <c r="K1451" s="1">
        <v>46194.356249999997</v>
      </c>
      <c r="M1451" t="b">
        <v>0</v>
      </c>
      <c r="O1451" s="1">
        <v>46194.356249999997</v>
      </c>
    </row>
    <row r="1452" spans="1:15" x14ac:dyDescent="0.25">
      <c r="A1452">
        <v>984688495</v>
      </c>
      <c r="B1452" t="s">
        <v>868</v>
      </c>
      <c r="G1452">
        <v>41</v>
      </c>
      <c r="H1452" t="s">
        <v>29</v>
      </c>
      <c r="I1452">
        <v>4060</v>
      </c>
      <c r="J1452">
        <v>4061</v>
      </c>
      <c r="L1452" t="s">
        <v>12</v>
      </c>
      <c r="M1452" t="b">
        <v>0</v>
      </c>
      <c r="O1452" s="1">
        <v>46194.356249999997</v>
      </c>
    </row>
    <row r="1453" spans="1:15" x14ac:dyDescent="0.25">
      <c r="A1453">
        <v>1800513668</v>
      </c>
      <c r="B1453" t="s">
        <v>868</v>
      </c>
      <c r="G1453">
        <v>35</v>
      </c>
      <c r="H1453" t="s">
        <v>36</v>
      </c>
      <c r="I1453">
        <v>230.72</v>
      </c>
      <c r="J1453">
        <v>229.6</v>
      </c>
      <c r="L1453" t="s">
        <v>12</v>
      </c>
      <c r="M1453" t="b">
        <v>0</v>
      </c>
      <c r="O1453" s="1">
        <v>46194.356249999997</v>
      </c>
    </row>
    <row r="1454" spans="1:15" x14ac:dyDescent="0.25">
      <c r="A1454">
        <v>-943638731</v>
      </c>
      <c r="B1454" t="s">
        <v>868</v>
      </c>
      <c r="G1454">
        <v>4</v>
      </c>
      <c r="H1454" t="s">
        <v>27</v>
      </c>
      <c r="I1454">
        <v>168</v>
      </c>
      <c r="J1454">
        <v>171</v>
      </c>
      <c r="L1454" t="s">
        <v>15</v>
      </c>
      <c r="M1454" t="b">
        <v>0</v>
      </c>
      <c r="O1454" s="1">
        <v>46194.356249999997</v>
      </c>
    </row>
    <row r="1455" spans="1:15" x14ac:dyDescent="0.25">
      <c r="A1455">
        <v>-534783106</v>
      </c>
      <c r="B1455" t="s">
        <v>869</v>
      </c>
      <c r="C1455" t="s">
        <v>847</v>
      </c>
      <c r="D1455" t="s">
        <v>596</v>
      </c>
      <c r="E1455" t="s">
        <v>340</v>
      </c>
      <c r="F1455">
        <v>50</v>
      </c>
      <c r="K1455" s="1">
        <v>46194.363518518519</v>
      </c>
      <c r="M1455" t="b">
        <v>0</v>
      </c>
      <c r="O1455" s="1">
        <v>46194.363518518519</v>
      </c>
    </row>
    <row r="1456" spans="1:15" x14ac:dyDescent="0.25">
      <c r="A1456">
        <v>-296957657</v>
      </c>
      <c r="B1456" t="s">
        <v>869</v>
      </c>
      <c r="G1456">
        <v>41</v>
      </c>
      <c r="H1456" t="s">
        <v>29</v>
      </c>
      <c r="I1456">
        <v>905</v>
      </c>
      <c r="J1456">
        <v>906.3</v>
      </c>
      <c r="L1456" t="s">
        <v>12</v>
      </c>
      <c r="M1456" t="b">
        <v>0</v>
      </c>
      <c r="O1456" s="1">
        <v>46194.363518518519</v>
      </c>
    </row>
    <row r="1457" spans="1:15" x14ac:dyDescent="0.25">
      <c r="A1457">
        <v>-1493670436</v>
      </c>
      <c r="B1457" t="s">
        <v>869</v>
      </c>
      <c r="G1457">
        <v>35</v>
      </c>
      <c r="H1457" t="s">
        <v>36</v>
      </c>
      <c r="I1457">
        <v>157</v>
      </c>
      <c r="J1457">
        <v>157.6</v>
      </c>
      <c r="L1457" t="s">
        <v>12</v>
      </c>
      <c r="M1457" t="b">
        <v>0</v>
      </c>
      <c r="O1457" s="1">
        <v>46194.363518518519</v>
      </c>
    </row>
    <row r="1458" spans="1:15" x14ac:dyDescent="0.25">
      <c r="A1458">
        <v>-1339191379</v>
      </c>
      <c r="B1458" t="s">
        <v>869</v>
      </c>
      <c r="G1458">
        <v>16</v>
      </c>
      <c r="H1458" t="s">
        <v>13</v>
      </c>
      <c r="I1458">
        <v>54.5</v>
      </c>
      <c r="J1458">
        <v>56.7</v>
      </c>
      <c r="L1458" t="s">
        <v>15</v>
      </c>
      <c r="M1458" t="b">
        <v>0</v>
      </c>
      <c r="O1458" s="1">
        <v>46194.363518518519</v>
      </c>
    </row>
    <row r="1459" spans="1:15" x14ac:dyDescent="0.25">
      <c r="A1459">
        <v>1059584534</v>
      </c>
      <c r="B1459" t="s">
        <v>870</v>
      </c>
      <c r="C1459" t="s">
        <v>871</v>
      </c>
      <c r="D1459" t="s">
        <v>872</v>
      </c>
      <c r="E1459" t="s">
        <v>340</v>
      </c>
      <c r="F1459">
        <v>250</v>
      </c>
      <c r="K1459" s="1">
        <v>46194.382986111108</v>
      </c>
      <c r="M1459" t="b">
        <v>0</v>
      </c>
      <c r="O1459" s="1">
        <v>46194.382986111108</v>
      </c>
    </row>
    <row r="1460" spans="1:15" x14ac:dyDescent="0.25">
      <c r="A1460">
        <v>-1674135073</v>
      </c>
      <c r="B1460" t="s">
        <v>870</v>
      </c>
      <c r="G1460">
        <v>41</v>
      </c>
      <c r="H1460" t="s">
        <v>29</v>
      </c>
      <c r="I1460">
        <v>966.75</v>
      </c>
      <c r="J1460">
        <v>967</v>
      </c>
      <c r="L1460" t="s">
        <v>12</v>
      </c>
      <c r="M1460" t="b">
        <v>0</v>
      </c>
      <c r="O1460" s="1">
        <v>46194.382986111108</v>
      </c>
    </row>
    <row r="1461" spans="1:15" x14ac:dyDescent="0.25">
      <c r="A1461">
        <v>-44235212</v>
      </c>
      <c r="B1461" t="s">
        <v>870</v>
      </c>
      <c r="G1461">
        <v>35</v>
      </c>
      <c r="H1461" t="s">
        <v>36</v>
      </c>
      <c r="I1461">
        <v>262.75</v>
      </c>
      <c r="J1461">
        <v>262.3</v>
      </c>
      <c r="L1461" t="s">
        <v>12</v>
      </c>
      <c r="M1461" t="b">
        <v>0</v>
      </c>
      <c r="O1461" s="1">
        <v>46194.382986111108</v>
      </c>
    </row>
    <row r="1462" spans="1:15" x14ac:dyDescent="0.25">
      <c r="A1462">
        <v>-1511207131</v>
      </c>
      <c r="B1462" t="s">
        <v>870</v>
      </c>
      <c r="G1462">
        <v>44</v>
      </c>
      <c r="H1462" t="s">
        <v>16</v>
      </c>
      <c r="I1462">
        <v>45.25</v>
      </c>
      <c r="J1462">
        <v>45.3</v>
      </c>
      <c r="L1462" t="s">
        <v>12</v>
      </c>
      <c r="M1462" t="b">
        <v>0</v>
      </c>
      <c r="O1462" s="1">
        <v>46194.382986111108</v>
      </c>
    </row>
    <row r="1463" spans="1:15" x14ac:dyDescent="0.25">
      <c r="A1463">
        <v>-1776000082</v>
      </c>
      <c r="B1463" t="s">
        <v>873</v>
      </c>
      <c r="C1463" t="s">
        <v>439</v>
      </c>
      <c r="D1463" t="s">
        <v>440</v>
      </c>
      <c r="E1463" t="s">
        <v>340</v>
      </c>
      <c r="F1463">
        <v>120</v>
      </c>
      <c r="K1463" s="1">
        <v>46194.391180555554</v>
      </c>
      <c r="M1463" t="b">
        <v>0</v>
      </c>
      <c r="O1463" s="1">
        <v>46194.391180555554</v>
      </c>
    </row>
    <row r="1464" spans="1:15" x14ac:dyDescent="0.25">
      <c r="A1464">
        <v>460577175</v>
      </c>
      <c r="B1464" t="s">
        <v>873</v>
      </c>
      <c r="G1464">
        <v>41</v>
      </c>
      <c r="H1464" t="s">
        <v>29</v>
      </c>
      <c r="I1464">
        <v>600</v>
      </c>
      <c r="J1464">
        <v>602.20000000000005</v>
      </c>
      <c r="L1464" t="s">
        <v>12</v>
      </c>
      <c r="M1464" t="b">
        <v>0</v>
      </c>
      <c r="O1464" s="1">
        <v>46194.391180555554</v>
      </c>
    </row>
    <row r="1465" spans="1:15" x14ac:dyDescent="0.25">
      <c r="A1465">
        <v>-1684346484</v>
      </c>
      <c r="B1465" t="s">
        <v>873</v>
      </c>
      <c r="G1465">
        <v>70</v>
      </c>
      <c r="H1465" t="s">
        <v>167</v>
      </c>
      <c r="I1465">
        <v>81.599999999999994</v>
      </c>
      <c r="J1465">
        <v>81.8</v>
      </c>
      <c r="L1465" t="s">
        <v>12</v>
      </c>
      <c r="M1465" t="b">
        <v>0</v>
      </c>
      <c r="O1465" s="1">
        <v>46194.391180555554</v>
      </c>
    </row>
    <row r="1466" spans="1:15" x14ac:dyDescent="0.25">
      <c r="A1466">
        <v>789501341</v>
      </c>
      <c r="B1466" t="s">
        <v>873</v>
      </c>
      <c r="G1466">
        <v>44</v>
      </c>
      <c r="H1466" t="s">
        <v>16</v>
      </c>
      <c r="I1466">
        <v>12</v>
      </c>
      <c r="J1466">
        <v>13.2</v>
      </c>
      <c r="L1466" t="s">
        <v>15</v>
      </c>
      <c r="M1466" t="b">
        <v>0</v>
      </c>
      <c r="O1466" s="1">
        <v>46194.391180555554</v>
      </c>
    </row>
    <row r="1467" spans="1:15" x14ac:dyDescent="0.25">
      <c r="A1467">
        <v>-1345938790</v>
      </c>
      <c r="B1467" t="s">
        <v>874</v>
      </c>
      <c r="C1467" t="s">
        <v>875</v>
      </c>
      <c r="D1467" t="s">
        <v>437</v>
      </c>
      <c r="E1467" t="s">
        <v>336</v>
      </c>
      <c r="F1467">
        <v>50</v>
      </c>
      <c r="K1467" s="1">
        <v>46194.393240740741</v>
      </c>
      <c r="M1467" t="b">
        <v>0</v>
      </c>
      <c r="O1467" s="1">
        <v>46194.393240740741</v>
      </c>
    </row>
    <row r="1468" spans="1:15" x14ac:dyDescent="0.25">
      <c r="A1468">
        <v>2035255571</v>
      </c>
      <c r="B1468" t="s">
        <v>874</v>
      </c>
      <c r="G1468">
        <v>41</v>
      </c>
      <c r="H1468" t="s">
        <v>29</v>
      </c>
      <c r="I1468">
        <v>386.5</v>
      </c>
      <c r="J1468">
        <v>387.4</v>
      </c>
      <c r="L1468" t="s">
        <v>12</v>
      </c>
      <c r="M1468" t="b">
        <v>0</v>
      </c>
      <c r="O1468" s="1">
        <v>46194.393240740741</v>
      </c>
    </row>
    <row r="1469" spans="1:15" x14ac:dyDescent="0.25">
      <c r="A1469">
        <v>-303945128</v>
      </c>
      <c r="B1469" t="s">
        <v>874</v>
      </c>
      <c r="G1469">
        <v>4</v>
      </c>
      <c r="H1469" t="s">
        <v>27</v>
      </c>
      <c r="I1469">
        <v>301.55</v>
      </c>
      <c r="J1469">
        <v>301</v>
      </c>
      <c r="L1469" t="s">
        <v>12</v>
      </c>
      <c r="M1469" t="b">
        <v>0</v>
      </c>
      <c r="O1469" s="1">
        <v>46194.393240740741</v>
      </c>
    </row>
    <row r="1470" spans="1:15" x14ac:dyDescent="0.25">
      <c r="A1470">
        <v>-523468423</v>
      </c>
      <c r="B1470" t="s">
        <v>874</v>
      </c>
      <c r="G1470">
        <v>44</v>
      </c>
      <c r="H1470" t="s">
        <v>16</v>
      </c>
      <c r="I1470">
        <v>99</v>
      </c>
      <c r="J1470">
        <v>99.1</v>
      </c>
      <c r="L1470" t="s">
        <v>12</v>
      </c>
      <c r="M1470" t="b">
        <v>0</v>
      </c>
      <c r="O1470" s="1">
        <v>46194.393240740741</v>
      </c>
    </row>
    <row r="1471" spans="1:15" x14ac:dyDescent="0.25">
      <c r="A1471">
        <v>-252778318</v>
      </c>
      <c r="B1471" t="s">
        <v>876</v>
      </c>
      <c r="C1471" t="s">
        <v>871</v>
      </c>
      <c r="D1471" t="s">
        <v>872</v>
      </c>
      <c r="E1471" t="s">
        <v>340</v>
      </c>
      <c r="F1471">
        <v>250</v>
      </c>
      <c r="K1471" s="1">
        <v>46194.416226851848</v>
      </c>
      <c r="M1471" t="b">
        <v>0</v>
      </c>
      <c r="O1471" s="1">
        <v>46194.416226851848</v>
      </c>
    </row>
    <row r="1472" spans="1:15" x14ac:dyDescent="0.25">
      <c r="A1472">
        <v>831443787</v>
      </c>
      <c r="B1472" t="s">
        <v>876</v>
      </c>
      <c r="G1472">
        <v>41</v>
      </c>
      <c r="H1472" t="s">
        <v>29</v>
      </c>
      <c r="I1472">
        <v>850</v>
      </c>
      <c r="J1472">
        <v>850.4</v>
      </c>
      <c r="L1472" t="s">
        <v>12</v>
      </c>
      <c r="M1472" t="b">
        <v>0</v>
      </c>
      <c r="O1472" s="1">
        <v>46194.416226851848</v>
      </c>
    </row>
    <row r="1473" spans="1:15" x14ac:dyDescent="0.25">
      <c r="A1473">
        <v>-1548712400</v>
      </c>
      <c r="B1473" t="s">
        <v>876</v>
      </c>
      <c r="G1473">
        <v>35</v>
      </c>
      <c r="H1473" t="s">
        <v>36</v>
      </c>
      <c r="I1473">
        <v>270</v>
      </c>
      <c r="J1473">
        <v>271.10000000000002</v>
      </c>
      <c r="L1473" t="s">
        <v>12</v>
      </c>
      <c r="M1473" t="b">
        <v>0</v>
      </c>
      <c r="O1473" s="1">
        <v>46194.416226851848</v>
      </c>
    </row>
    <row r="1474" spans="1:15" x14ac:dyDescent="0.25">
      <c r="A1474">
        <v>-90786191</v>
      </c>
      <c r="B1474" t="s">
        <v>876</v>
      </c>
      <c r="G1474">
        <v>44</v>
      </c>
      <c r="H1474" t="s">
        <v>16</v>
      </c>
      <c r="I1474">
        <v>30</v>
      </c>
      <c r="J1474">
        <v>30.2</v>
      </c>
      <c r="L1474" t="s">
        <v>12</v>
      </c>
      <c r="M1474" t="b">
        <v>0</v>
      </c>
      <c r="O1474" s="1">
        <v>46194.416226851848</v>
      </c>
    </row>
    <row r="1475" spans="1:15" x14ac:dyDescent="0.25">
      <c r="A1475">
        <v>336401890</v>
      </c>
      <c r="B1475" t="s">
        <v>877</v>
      </c>
      <c r="C1475" t="s">
        <v>847</v>
      </c>
      <c r="D1475" t="s">
        <v>596</v>
      </c>
      <c r="E1475" t="s">
        <v>340</v>
      </c>
      <c r="F1475">
        <v>50</v>
      </c>
      <c r="K1475" s="1">
        <v>46194.45275462963</v>
      </c>
      <c r="M1475" t="b">
        <v>0</v>
      </c>
      <c r="O1475" s="1">
        <v>46194.45275462963</v>
      </c>
    </row>
    <row r="1476" spans="1:15" x14ac:dyDescent="0.25">
      <c r="A1476">
        <v>-696916805</v>
      </c>
      <c r="B1476" t="s">
        <v>877</v>
      </c>
      <c r="G1476">
        <v>41</v>
      </c>
      <c r="H1476" t="s">
        <v>29</v>
      </c>
      <c r="I1476">
        <v>400</v>
      </c>
      <c r="J1476">
        <v>400.8</v>
      </c>
      <c r="L1476" t="s">
        <v>12</v>
      </c>
      <c r="M1476" t="b">
        <v>0</v>
      </c>
      <c r="O1476" s="1">
        <v>46194.45275462963</v>
      </c>
    </row>
    <row r="1477" spans="1:15" x14ac:dyDescent="0.25">
      <c r="A1477">
        <v>1710831328</v>
      </c>
      <c r="B1477" t="s">
        <v>877</v>
      </c>
      <c r="G1477">
        <v>35</v>
      </c>
      <c r="H1477" t="s">
        <v>36</v>
      </c>
      <c r="I1477">
        <v>160</v>
      </c>
      <c r="J1477">
        <v>161</v>
      </c>
      <c r="L1477" t="s">
        <v>12</v>
      </c>
      <c r="M1477" t="b">
        <v>0</v>
      </c>
      <c r="O1477" s="1">
        <v>46194.45275462963</v>
      </c>
    </row>
    <row r="1478" spans="1:15" x14ac:dyDescent="0.25">
      <c r="A1478">
        <v>740025697</v>
      </c>
      <c r="B1478" t="s">
        <v>877</v>
      </c>
      <c r="G1478">
        <v>16</v>
      </c>
      <c r="H1478" t="s">
        <v>13</v>
      </c>
      <c r="I1478">
        <v>55</v>
      </c>
      <c r="J1478">
        <v>56.1</v>
      </c>
      <c r="L1478" t="s">
        <v>15</v>
      </c>
      <c r="M1478" t="b">
        <v>0</v>
      </c>
      <c r="O1478" s="1">
        <v>46194.45275462963</v>
      </c>
    </row>
    <row r="1479" spans="1:15" x14ac:dyDescent="0.25">
      <c r="A1479">
        <v>71071758</v>
      </c>
      <c r="B1479" t="s">
        <v>878</v>
      </c>
      <c r="C1479" t="s">
        <v>395</v>
      </c>
      <c r="D1479">
        <v>275</v>
      </c>
      <c r="E1479" t="s">
        <v>313</v>
      </c>
      <c r="F1479">
        <v>50</v>
      </c>
      <c r="K1479" s="1">
        <v>46194.454560185186</v>
      </c>
      <c r="M1479" t="b">
        <v>0</v>
      </c>
      <c r="O1479" s="1">
        <v>46194.454560185186</v>
      </c>
    </row>
    <row r="1480" spans="1:15" x14ac:dyDescent="0.25">
      <c r="A1480">
        <v>1342025335</v>
      </c>
      <c r="B1480" t="s">
        <v>878</v>
      </c>
      <c r="G1480">
        <v>41</v>
      </c>
      <c r="H1480" t="s">
        <v>29</v>
      </c>
      <c r="I1480">
        <v>1300</v>
      </c>
      <c r="J1480">
        <v>1307.9000000000001</v>
      </c>
      <c r="L1480" t="s">
        <v>12</v>
      </c>
      <c r="M1480" t="b">
        <v>0</v>
      </c>
      <c r="O1480" s="1">
        <v>46194.454560185186</v>
      </c>
    </row>
    <row r="1481" spans="1:15" x14ac:dyDescent="0.25">
      <c r="A1481">
        <v>-2062117652</v>
      </c>
      <c r="B1481" t="s">
        <v>878</v>
      </c>
      <c r="G1481">
        <v>44</v>
      </c>
      <c r="H1481" t="s">
        <v>16</v>
      </c>
      <c r="I1481">
        <v>45</v>
      </c>
      <c r="J1481">
        <v>44.6</v>
      </c>
      <c r="L1481" t="s">
        <v>12</v>
      </c>
      <c r="M1481" t="b">
        <v>0</v>
      </c>
      <c r="O1481" s="1">
        <v>46194.454560185186</v>
      </c>
    </row>
    <row r="1482" spans="1:15" x14ac:dyDescent="0.25">
      <c r="A1482">
        <v>1304704381</v>
      </c>
      <c r="B1482" t="s">
        <v>878</v>
      </c>
      <c r="G1482">
        <v>4</v>
      </c>
      <c r="H1482" t="s">
        <v>27</v>
      </c>
      <c r="I1482">
        <v>75</v>
      </c>
      <c r="J1482">
        <v>74.900000000000006</v>
      </c>
      <c r="L1482" t="s">
        <v>12</v>
      </c>
      <c r="M1482" t="b">
        <v>0</v>
      </c>
      <c r="O1482" s="1">
        <v>46194.454560185186</v>
      </c>
    </row>
    <row r="1483" spans="1:15" x14ac:dyDescent="0.25">
      <c r="A1483">
        <v>-1580485382</v>
      </c>
      <c r="B1483" t="s">
        <v>879</v>
      </c>
      <c r="C1483" t="s">
        <v>477</v>
      </c>
      <c r="D1483" t="s">
        <v>19</v>
      </c>
      <c r="E1483" t="s">
        <v>340</v>
      </c>
      <c r="F1483">
        <v>260</v>
      </c>
      <c r="K1483" s="1">
        <v>46194.514999999999</v>
      </c>
      <c r="M1483" t="b">
        <v>0</v>
      </c>
      <c r="O1483" s="1">
        <v>46194.514999999999</v>
      </c>
    </row>
    <row r="1484" spans="1:15" x14ac:dyDescent="0.25">
      <c r="A1484">
        <v>1374120947</v>
      </c>
      <c r="B1484" t="s">
        <v>879</v>
      </c>
      <c r="G1484">
        <v>41</v>
      </c>
      <c r="H1484" t="s">
        <v>29</v>
      </c>
      <c r="I1484">
        <v>5662.8</v>
      </c>
      <c r="J1484">
        <v>5665.6</v>
      </c>
      <c r="L1484" t="s">
        <v>12</v>
      </c>
      <c r="M1484" t="b">
        <v>0</v>
      </c>
      <c r="O1484" s="1">
        <v>46194.514999999999</v>
      </c>
    </row>
    <row r="1485" spans="1:15" x14ac:dyDescent="0.25">
      <c r="A1485">
        <v>-831894600</v>
      </c>
      <c r="B1485" t="s">
        <v>879</v>
      </c>
      <c r="G1485">
        <v>35</v>
      </c>
      <c r="H1485" t="s">
        <v>36</v>
      </c>
      <c r="I1485">
        <v>788.58</v>
      </c>
      <c r="J1485">
        <v>789.8</v>
      </c>
      <c r="L1485" t="s">
        <v>12</v>
      </c>
      <c r="M1485" t="b">
        <v>0</v>
      </c>
      <c r="O1485" s="1">
        <v>46194.514999999999</v>
      </c>
    </row>
    <row r="1486" spans="1:15" x14ac:dyDescent="0.25">
      <c r="A1486">
        <v>515284825</v>
      </c>
      <c r="B1486" t="s">
        <v>879</v>
      </c>
      <c r="G1486">
        <v>44</v>
      </c>
      <c r="H1486" t="s">
        <v>16</v>
      </c>
      <c r="I1486">
        <v>103.14</v>
      </c>
      <c r="J1486">
        <v>102.2</v>
      </c>
      <c r="L1486" t="s">
        <v>12</v>
      </c>
      <c r="M1486" t="b">
        <v>0</v>
      </c>
      <c r="O1486" s="1">
        <v>46194.514999999999</v>
      </c>
    </row>
    <row r="1487" spans="1:15" x14ac:dyDescent="0.25">
      <c r="A1487">
        <v>-1120527787</v>
      </c>
      <c r="B1487" t="s">
        <v>880</v>
      </c>
      <c r="C1487" t="s">
        <v>334</v>
      </c>
      <c r="D1487" t="s">
        <v>695</v>
      </c>
      <c r="E1487" t="s">
        <v>336</v>
      </c>
      <c r="F1487">
        <v>50</v>
      </c>
      <c r="K1487" s="1">
        <v>46204.55364583333</v>
      </c>
      <c r="M1487" t="b">
        <v>0</v>
      </c>
      <c r="O1487" s="1">
        <v>46204.55364583333</v>
      </c>
    </row>
    <row r="1488" spans="1:15" x14ac:dyDescent="0.25">
      <c r="A1488">
        <v>-1972699406</v>
      </c>
      <c r="B1488" t="s">
        <v>880</v>
      </c>
      <c r="G1488">
        <v>41</v>
      </c>
      <c r="H1488" t="s">
        <v>29</v>
      </c>
      <c r="I1488">
        <v>225</v>
      </c>
      <c r="J1488">
        <v>224.9</v>
      </c>
      <c r="L1488" t="s">
        <v>12</v>
      </c>
      <c r="M1488" t="b">
        <v>0</v>
      </c>
      <c r="O1488" s="1">
        <v>46204.55364583333</v>
      </c>
    </row>
    <row r="1489" spans="1:15" x14ac:dyDescent="0.25">
      <c r="A1489">
        <v>-128172917</v>
      </c>
      <c r="B1489" t="s">
        <v>880</v>
      </c>
      <c r="G1489">
        <v>49</v>
      </c>
      <c r="H1489" t="s">
        <v>181</v>
      </c>
      <c r="I1489">
        <v>28</v>
      </c>
      <c r="J1489">
        <v>28.26</v>
      </c>
      <c r="L1489" t="s">
        <v>12</v>
      </c>
      <c r="M1489" t="b">
        <v>0</v>
      </c>
      <c r="O1489" s="1">
        <v>46204.55364583333</v>
      </c>
    </row>
    <row r="1490" spans="1:15" x14ac:dyDescent="0.25">
      <c r="A1490">
        <v>844858992</v>
      </c>
      <c r="B1490" t="s">
        <v>880</v>
      </c>
      <c r="G1490">
        <v>35</v>
      </c>
      <c r="H1490" t="s">
        <v>36</v>
      </c>
      <c r="I1490">
        <v>78</v>
      </c>
      <c r="J1490">
        <v>77.959999999999994</v>
      </c>
      <c r="L1490" t="s">
        <v>12</v>
      </c>
      <c r="M1490" t="b">
        <v>0</v>
      </c>
      <c r="O1490" s="1">
        <v>46204.55364583333</v>
      </c>
    </row>
    <row r="1491" spans="1:15" x14ac:dyDescent="0.25">
      <c r="A1491">
        <v>544331585</v>
      </c>
      <c r="B1491" t="s">
        <v>881</v>
      </c>
      <c r="C1491" t="s">
        <v>882</v>
      </c>
      <c r="D1491" t="s">
        <v>218</v>
      </c>
      <c r="E1491" t="s">
        <v>364</v>
      </c>
      <c r="F1491">
        <v>50</v>
      </c>
      <c r="K1491" s="1">
        <v>46194.561574074076</v>
      </c>
      <c r="M1491" t="b">
        <v>0</v>
      </c>
      <c r="O1491" s="1">
        <v>46194.561574074076</v>
      </c>
    </row>
    <row r="1492" spans="1:15" x14ac:dyDescent="0.25">
      <c r="A1492">
        <v>1185365102</v>
      </c>
      <c r="B1492" t="s">
        <v>881</v>
      </c>
      <c r="G1492">
        <v>41</v>
      </c>
      <c r="H1492" t="s">
        <v>29</v>
      </c>
      <c r="I1492">
        <v>1380</v>
      </c>
      <c r="J1492">
        <v>1381.2</v>
      </c>
      <c r="L1492" t="s">
        <v>12</v>
      </c>
      <c r="M1492" t="b">
        <v>0</v>
      </c>
      <c r="O1492" s="1">
        <v>46194.561574074076</v>
      </c>
    </row>
    <row r="1493" spans="1:15" x14ac:dyDescent="0.25">
      <c r="A1493">
        <v>556823383</v>
      </c>
      <c r="B1493" t="s">
        <v>881</v>
      </c>
      <c r="G1493">
        <v>35</v>
      </c>
      <c r="H1493" t="s">
        <v>36</v>
      </c>
      <c r="I1493">
        <v>121</v>
      </c>
      <c r="J1493">
        <v>121.4</v>
      </c>
      <c r="L1493" t="s">
        <v>12</v>
      </c>
      <c r="M1493" t="b">
        <v>0</v>
      </c>
      <c r="O1493" s="1">
        <v>46194.561574074076</v>
      </c>
    </row>
    <row r="1494" spans="1:15" x14ac:dyDescent="0.25">
      <c r="A1494">
        <v>-1075548084</v>
      </c>
      <c r="B1494" t="s">
        <v>881</v>
      </c>
      <c r="G1494">
        <v>11</v>
      </c>
      <c r="H1494" t="s">
        <v>33</v>
      </c>
      <c r="I1494">
        <v>15.2</v>
      </c>
      <c r="J1494">
        <v>15.6</v>
      </c>
      <c r="L1494" t="s">
        <v>15</v>
      </c>
      <c r="M1494" t="b">
        <v>0</v>
      </c>
      <c r="O1494" s="1">
        <v>46194.561574074076</v>
      </c>
    </row>
    <row r="1495" spans="1:15" x14ac:dyDescent="0.25">
      <c r="A1495">
        <v>-1895037603</v>
      </c>
      <c r="B1495" t="s">
        <v>883</v>
      </c>
      <c r="C1495" t="s">
        <v>379</v>
      </c>
      <c r="D1495" t="s">
        <v>647</v>
      </c>
      <c r="E1495" t="s">
        <v>336</v>
      </c>
      <c r="F1495">
        <v>200</v>
      </c>
      <c r="K1495" s="1">
        <v>46194.604814814818</v>
      </c>
      <c r="M1495" t="b">
        <v>0</v>
      </c>
      <c r="O1495" s="1">
        <v>46194.604814814818</v>
      </c>
    </row>
    <row r="1496" spans="1:15" x14ac:dyDescent="0.25">
      <c r="A1496">
        <v>942571354</v>
      </c>
      <c r="B1496" t="s">
        <v>883</v>
      </c>
      <c r="G1496">
        <v>41</v>
      </c>
      <c r="H1496" t="s">
        <v>29</v>
      </c>
      <c r="I1496">
        <v>1000</v>
      </c>
      <c r="J1496">
        <v>1003.6</v>
      </c>
      <c r="L1496" t="s">
        <v>12</v>
      </c>
      <c r="M1496" t="b">
        <v>0</v>
      </c>
      <c r="O1496" s="1">
        <v>46194.604814814818</v>
      </c>
    </row>
    <row r="1497" spans="1:15" x14ac:dyDescent="0.25">
      <c r="A1497">
        <v>991379155</v>
      </c>
      <c r="B1497" t="s">
        <v>884</v>
      </c>
      <c r="C1497" t="s">
        <v>356</v>
      </c>
      <c r="D1497" t="s">
        <v>224</v>
      </c>
      <c r="E1497" t="s">
        <v>336</v>
      </c>
      <c r="F1497">
        <v>50</v>
      </c>
      <c r="K1497" s="1">
        <v>46194.616342592592</v>
      </c>
      <c r="M1497" t="b">
        <v>0</v>
      </c>
      <c r="O1497" s="1">
        <v>46194.616342592592</v>
      </c>
    </row>
    <row r="1498" spans="1:15" x14ac:dyDescent="0.25">
      <c r="A1498">
        <v>457678104</v>
      </c>
      <c r="B1498" t="s">
        <v>884</v>
      </c>
      <c r="G1498">
        <v>41</v>
      </c>
      <c r="H1498" t="s">
        <v>29</v>
      </c>
      <c r="I1498">
        <v>813.5</v>
      </c>
      <c r="J1498">
        <v>813.4</v>
      </c>
      <c r="L1498" t="s">
        <v>12</v>
      </c>
      <c r="M1498" t="b">
        <v>0</v>
      </c>
      <c r="O1498" s="1">
        <v>46194.616342592592</v>
      </c>
    </row>
    <row r="1499" spans="1:15" x14ac:dyDescent="0.25">
      <c r="A1499">
        <v>-256234183</v>
      </c>
      <c r="B1499" t="s">
        <v>884</v>
      </c>
      <c r="G1499">
        <v>35</v>
      </c>
      <c r="H1499" t="s">
        <v>36</v>
      </c>
      <c r="I1499">
        <v>118.2</v>
      </c>
      <c r="J1499">
        <v>118.5</v>
      </c>
      <c r="L1499" t="s">
        <v>12</v>
      </c>
      <c r="M1499" t="b">
        <v>0</v>
      </c>
      <c r="O1499" s="1">
        <v>46194.616342592592</v>
      </c>
    </row>
    <row r="1500" spans="1:15" x14ac:dyDescent="0.25">
      <c r="A1500">
        <v>-2036651770</v>
      </c>
      <c r="B1500" t="s">
        <v>884</v>
      </c>
      <c r="G1500">
        <v>16</v>
      </c>
      <c r="H1500" t="s">
        <v>13</v>
      </c>
      <c r="I1500">
        <v>108.5</v>
      </c>
      <c r="J1500">
        <v>108.5</v>
      </c>
      <c r="L1500" t="s">
        <v>12</v>
      </c>
      <c r="M1500" t="b">
        <v>0</v>
      </c>
      <c r="O1500" s="1">
        <v>46194.616342592592</v>
      </c>
    </row>
    <row r="1501" spans="1:15" x14ac:dyDescent="0.25">
      <c r="A1501">
        <v>1254209480</v>
      </c>
      <c r="B1501" t="s">
        <v>885</v>
      </c>
      <c r="C1501" t="s">
        <v>886</v>
      </c>
      <c r="D1501" t="s">
        <v>225</v>
      </c>
      <c r="E1501" t="s">
        <v>340</v>
      </c>
      <c r="F1501">
        <v>250</v>
      </c>
      <c r="K1501" s="1">
        <v>46194.639768518522</v>
      </c>
      <c r="M1501" t="b">
        <v>0</v>
      </c>
      <c r="O1501" s="1">
        <v>46194.639768518522</v>
      </c>
    </row>
    <row r="1502" spans="1:15" x14ac:dyDescent="0.25">
      <c r="A1502">
        <v>959118889</v>
      </c>
      <c r="B1502" t="s">
        <v>885</v>
      </c>
      <c r="G1502">
        <v>41</v>
      </c>
      <c r="H1502" t="s">
        <v>29</v>
      </c>
      <c r="I1502">
        <v>2367.5</v>
      </c>
      <c r="J1502">
        <v>2372</v>
      </c>
      <c r="L1502" t="s">
        <v>12</v>
      </c>
      <c r="M1502" t="b">
        <v>0</v>
      </c>
      <c r="O1502" s="1">
        <v>46194.639768518522</v>
      </c>
    </row>
    <row r="1503" spans="1:15" x14ac:dyDescent="0.25">
      <c r="A1503">
        <v>707232566</v>
      </c>
      <c r="B1503" t="s">
        <v>885</v>
      </c>
      <c r="G1503">
        <v>35</v>
      </c>
      <c r="H1503" t="s">
        <v>36</v>
      </c>
      <c r="I1503">
        <v>420</v>
      </c>
      <c r="J1503">
        <v>420.3</v>
      </c>
      <c r="L1503" t="s">
        <v>12</v>
      </c>
      <c r="M1503" t="b">
        <v>0</v>
      </c>
      <c r="O1503" s="1">
        <v>46194.639768518522</v>
      </c>
    </row>
    <row r="1504" spans="1:15" x14ac:dyDescent="0.25">
      <c r="A1504">
        <v>676631679</v>
      </c>
      <c r="B1504" t="s">
        <v>885</v>
      </c>
      <c r="G1504">
        <v>44</v>
      </c>
      <c r="H1504" t="s">
        <v>16</v>
      </c>
      <c r="I1504">
        <v>232.5</v>
      </c>
      <c r="J1504">
        <v>232.6</v>
      </c>
      <c r="L1504" t="s">
        <v>12</v>
      </c>
      <c r="M1504" t="b">
        <v>0</v>
      </c>
      <c r="O1504" s="1">
        <v>46194.639768518522</v>
      </c>
    </row>
    <row r="1505" spans="1:15" x14ac:dyDescent="0.25">
      <c r="A1505">
        <v>-116902828</v>
      </c>
      <c r="B1505" t="s">
        <v>885</v>
      </c>
      <c r="G1505">
        <v>4</v>
      </c>
      <c r="H1505" t="s">
        <v>27</v>
      </c>
      <c r="I1505">
        <v>257.5</v>
      </c>
      <c r="J1505">
        <v>262.10000000000002</v>
      </c>
      <c r="L1505" t="s">
        <v>15</v>
      </c>
      <c r="M1505" t="b">
        <v>0</v>
      </c>
      <c r="O1505" s="1">
        <v>46194.639768518522</v>
      </c>
    </row>
    <row r="1506" spans="1:15" x14ac:dyDescent="0.25">
      <c r="A1506">
        <v>439158453</v>
      </c>
      <c r="B1506" t="s">
        <v>887</v>
      </c>
      <c r="C1506" t="s">
        <v>379</v>
      </c>
      <c r="D1506" t="s">
        <v>647</v>
      </c>
      <c r="E1506" t="s">
        <v>336</v>
      </c>
      <c r="F1506">
        <v>450</v>
      </c>
      <c r="K1506" s="1">
        <v>46194.701481481483</v>
      </c>
      <c r="M1506" t="b">
        <v>0</v>
      </c>
      <c r="O1506" s="1">
        <v>46194.701481481483</v>
      </c>
    </row>
    <row r="1507" spans="1:15" x14ac:dyDescent="0.25">
      <c r="A1507">
        <v>-231683118</v>
      </c>
      <c r="B1507" t="s">
        <v>887</v>
      </c>
      <c r="G1507">
        <v>41</v>
      </c>
      <c r="H1507" t="s">
        <v>29</v>
      </c>
      <c r="I1507">
        <v>2250</v>
      </c>
      <c r="J1507">
        <v>2257.8000000000002</v>
      </c>
      <c r="L1507" t="s">
        <v>12</v>
      </c>
      <c r="M1507" t="b">
        <v>0</v>
      </c>
      <c r="O1507" s="1">
        <v>46194.701481481483</v>
      </c>
    </row>
    <row r="1508" spans="1:15" x14ac:dyDescent="0.25">
      <c r="A1508">
        <v>-266423149</v>
      </c>
      <c r="B1508" t="s">
        <v>888</v>
      </c>
      <c r="C1508" t="s">
        <v>847</v>
      </c>
      <c r="D1508" t="s">
        <v>889</v>
      </c>
      <c r="E1508" t="s">
        <v>313</v>
      </c>
      <c r="F1508">
        <v>100</v>
      </c>
      <c r="K1508" s="1">
        <v>46194.792303240742</v>
      </c>
      <c r="M1508" t="b">
        <v>0</v>
      </c>
      <c r="O1508" s="1">
        <v>46194.792303240742</v>
      </c>
    </row>
    <row r="1509" spans="1:15" x14ac:dyDescent="0.25">
      <c r="A1509">
        <v>1365364696</v>
      </c>
      <c r="B1509" t="s">
        <v>888</v>
      </c>
      <c r="G1509">
        <v>41</v>
      </c>
      <c r="H1509" t="s">
        <v>29</v>
      </c>
      <c r="I1509">
        <v>800</v>
      </c>
      <c r="J1509">
        <v>800.2</v>
      </c>
      <c r="L1509" t="s">
        <v>12</v>
      </c>
      <c r="M1509" t="b">
        <v>0</v>
      </c>
      <c r="O1509" s="1">
        <v>46194.792303240742</v>
      </c>
    </row>
    <row r="1510" spans="1:15" x14ac:dyDescent="0.25">
      <c r="A1510">
        <v>-319973127</v>
      </c>
      <c r="B1510" t="s">
        <v>888</v>
      </c>
      <c r="G1510">
        <v>35</v>
      </c>
      <c r="H1510" t="s">
        <v>36</v>
      </c>
      <c r="I1510">
        <v>320</v>
      </c>
      <c r="J1510">
        <v>319.2</v>
      </c>
      <c r="L1510" t="s">
        <v>12</v>
      </c>
      <c r="M1510" t="b">
        <v>0</v>
      </c>
      <c r="O1510" s="1">
        <v>46194.792303240742</v>
      </c>
    </row>
    <row r="1511" spans="1:15" x14ac:dyDescent="0.25">
      <c r="A1511">
        <v>1047763398</v>
      </c>
      <c r="B1511" t="s">
        <v>888</v>
      </c>
      <c r="G1511">
        <v>16</v>
      </c>
      <c r="H1511" t="s">
        <v>13</v>
      </c>
      <c r="I1511">
        <v>110</v>
      </c>
      <c r="J1511">
        <v>109.9</v>
      </c>
      <c r="L1511" t="s">
        <v>12</v>
      </c>
      <c r="M1511" t="b">
        <v>0</v>
      </c>
      <c r="O1511" s="1">
        <v>46194.792303240742</v>
      </c>
    </row>
    <row r="1512" spans="1:15" x14ac:dyDescent="0.25">
      <c r="A1512">
        <v>63034943</v>
      </c>
      <c r="B1512" t="s">
        <v>890</v>
      </c>
      <c r="C1512" t="s">
        <v>886</v>
      </c>
      <c r="D1512" t="s">
        <v>225</v>
      </c>
      <c r="E1512" t="s">
        <v>340</v>
      </c>
      <c r="F1512">
        <v>250</v>
      </c>
      <c r="K1512" s="1">
        <v>46194.81527777778</v>
      </c>
      <c r="M1512" t="b">
        <v>0</v>
      </c>
      <c r="O1512" s="1">
        <v>46194.81527777778</v>
      </c>
    </row>
    <row r="1513" spans="1:15" x14ac:dyDescent="0.25">
      <c r="A1513">
        <v>1682916116</v>
      </c>
      <c r="B1513" t="s">
        <v>890</v>
      </c>
      <c r="G1513">
        <v>41</v>
      </c>
      <c r="H1513" t="s">
        <v>29</v>
      </c>
      <c r="I1513">
        <v>2350</v>
      </c>
      <c r="J1513">
        <v>2335</v>
      </c>
      <c r="L1513" t="s">
        <v>12</v>
      </c>
      <c r="M1513" t="b">
        <v>0</v>
      </c>
      <c r="O1513" s="1">
        <v>46194.81527777778</v>
      </c>
    </row>
    <row r="1514" spans="1:15" x14ac:dyDescent="0.25">
      <c r="A1514">
        <v>959627909</v>
      </c>
      <c r="B1514" t="s">
        <v>890</v>
      </c>
      <c r="G1514">
        <v>35</v>
      </c>
      <c r="H1514" t="s">
        <v>36</v>
      </c>
      <c r="I1514">
        <v>500</v>
      </c>
      <c r="J1514">
        <v>502.9</v>
      </c>
      <c r="L1514" t="s">
        <v>12</v>
      </c>
      <c r="M1514" t="b">
        <v>0</v>
      </c>
      <c r="O1514" s="1">
        <v>46194.81527777778</v>
      </c>
    </row>
    <row r="1515" spans="1:15" x14ac:dyDescent="0.25">
      <c r="A1515">
        <v>1894756194</v>
      </c>
      <c r="B1515" t="s">
        <v>890</v>
      </c>
      <c r="G1515">
        <v>44</v>
      </c>
      <c r="H1515" t="s">
        <v>16</v>
      </c>
      <c r="I1515">
        <v>230</v>
      </c>
      <c r="J1515">
        <v>230.2</v>
      </c>
      <c r="L1515" t="s">
        <v>12</v>
      </c>
      <c r="M1515" t="b">
        <v>0</v>
      </c>
      <c r="O1515" s="1">
        <v>46194.81527777778</v>
      </c>
    </row>
    <row r="1516" spans="1:15" x14ac:dyDescent="0.25">
      <c r="A1516">
        <v>-1607212997</v>
      </c>
      <c r="B1516" t="s">
        <v>890</v>
      </c>
      <c r="G1516">
        <v>4</v>
      </c>
      <c r="H1516" t="s">
        <v>27</v>
      </c>
      <c r="I1516">
        <v>240</v>
      </c>
      <c r="J1516">
        <v>240</v>
      </c>
      <c r="L1516" t="s">
        <v>12</v>
      </c>
      <c r="M1516" t="b">
        <v>0</v>
      </c>
      <c r="O1516" s="1">
        <v>46194.81527777778</v>
      </c>
    </row>
    <row r="1517" spans="1:15" x14ac:dyDescent="0.25">
      <c r="A1517">
        <v>-330077088</v>
      </c>
      <c r="B1517" t="s">
        <v>891</v>
      </c>
      <c r="C1517" t="s">
        <v>439</v>
      </c>
      <c r="D1517" t="s">
        <v>440</v>
      </c>
      <c r="E1517" t="s">
        <v>340</v>
      </c>
      <c r="F1517">
        <v>120</v>
      </c>
      <c r="K1517" s="1">
        <v>46194.818425925929</v>
      </c>
      <c r="M1517" t="b">
        <v>0</v>
      </c>
      <c r="O1517" s="1">
        <v>46194.818425925929</v>
      </c>
    </row>
    <row r="1518" spans="1:15" x14ac:dyDescent="0.25">
      <c r="A1518">
        <v>-1240970015</v>
      </c>
      <c r="B1518" t="s">
        <v>891</v>
      </c>
      <c r="G1518">
        <v>41</v>
      </c>
      <c r="H1518" t="s">
        <v>29</v>
      </c>
      <c r="I1518">
        <v>700</v>
      </c>
      <c r="J1518">
        <v>707</v>
      </c>
      <c r="L1518" t="s">
        <v>15</v>
      </c>
      <c r="M1518" t="b">
        <v>0</v>
      </c>
      <c r="O1518" s="1">
        <v>46194.818425925929</v>
      </c>
    </row>
    <row r="1519" spans="1:15" x14ac:dyDescent="0.25">
      <c r="A1519">
        <v>130525582</v>
      </c>
      <c r="B1519" t="s">
        <v>891</v>
      </c>
      <c r="G1519">
        <v>70</v>
      </c>
      <c r="H1519" t="s">
        <v>167</v>
      </c>
      <c r="I1519">
        <v>140</v>
      </c>
      <c r="J1519">
        <v>139.9</v>
      </c>
      <c r="L1519" t="s">
        <v>12</v>
      </c>
      <c r="M1519" t="b">
        <v>0</v>
      </c>
      <c r="O1519" s="1">
        <v>46194.818425925929</v>
      </c>
    </row>
    <row r="1520" spans="1:15" x14ac:dyDescent="0.25">
      <c r="A1520">
        <v>-571579913</v>
      </c>
      <c r="B1520" t="s">
        <v>891</v>
      </c>
      <c r="G1520">
        <v>44</v>
      </c>
      <c r="H1520" t="s">
        <v>16</v>
      </c>
      <c r="I1520">
        <v>15</v>
      </c>
      <c r="J1520">
        <v>15.4</v>
      </c>
      <c r="L1520" t="s">
        <v>15</v>
      </c>
      <c r="M1520" t="b">
        <v>0</v>
      </c>
      <c r="O1520" s="1">
        <v>46194.818425925929</v>
      </c>
    </row>
    <row r="1521" spans="1:15" x14ac:dyDescent="0.25">
      <c r="A1521">
        <v>176766038</v>
      </c>
      <c r="B1521" t="s">
        <v>892</v>
      </c>
      <c r="C1521" t="s">
        <v>518</v>
      </c>
      <c r="D1521" t="s">
        <v>219</v>
      </c>
      <c r="E1521" t="s">
        <v>313</v>
      </c>
      <c r="F1521">
        <v>450</v>
      </c>
      <c r="K1521" s="1">
        <v>46194.83734953704</v>
      </c>
      <c r="M1521" t="b">
        <v>0</v>
      </c>
      <c r="O1521" s="1">
        <v>46194.83734953704</v>
      </c>
    </row>
    <row r="1522" spans="1:15" x14ac:dyDescent="0.25">
      <c r="A1522">
        <v>232054559</v>
      </c>
      <c r="B1522" t="s">
        <v>892</v>
      </c>
      <c r="G1522">
        <v>41</v>
      </c>
      <c r="H1522" t="s">
        <v>29</v>
      </c>
      <c r="I1522">
        <v>5310</v>
      </c>
      <c r="J1522">
        <v>5281</v>
      </c>
      <c r="L1522" t="s">
        <v>12</v>
      </c>
      <c r="M1522" t="b">
        <v>0</v>
      </c>
      <c r="O1522" s="1">
        <v>46194.83734953704</v>
      </c>
    </row>
    <row r="1523" spans="1:15" x14ac:dyDescent="0.25">
      <c r="A1523">
        <v>463540852</v>
      </c>
      <c r="B1523" t="s">
        <v>892</v>
      </c>
      <c r="G1523">
        <v>35</v>
      </c>
      <c r="H1523" t="s">
        <v>36</v>
      </c>
      <c r="I1523">
        <v>67.5</v>
      </c>
      <c r="J1523">
        <v>68.8</v>
      </c>
      <c r="L1523" t="s">
        <v>15</v>
      </c>
      <c r="M1523" t="b">
        <v>0</v>
      </c>
      <c r="O1523" s="1">
        <v>46194.83734953704</v>
      </c>
    </row>
    <row r="1524" spans="1:15" x14ac:dyDescent="0.25">
      <c r="A1524">
        <v>-354126235</v>
      </c>
      <c r="B1524" t="s">
        <v>892</v>
      </c>
      <c r="G1524">
        <v>26</v>
      </c>
      <c r="H1524" t="s">
        <v>186</v>
      </c>
      <c r="I1524">
        <v>13.5</v>
      </c>
      <c r="J1524">
        <v>14.4</v>
      </c>
      <c r="L1524" t="s">
        <v>15</v>
      </c>
      <c r="M1524" t="b">
        <v>0</v>
      </c>
      <c r="O1524" s="1">
        <v>46194.83734953704</v>
      </c>
    </row>
    <row r="1525" spans="1:15" x14ac:dyDescent="0.25">
      <c r="A1525">
        <v>-1378956666</v>
      </c>
      <c r="B1525" t="s">
        <v>893</v>
      </c>
      <c r="C1525" t="s">
        <v>886</v>
      </c>
      <c r="D1525" t="s">
        <v>225</v>
      </c>
      <c r="E1525" t="s">
        <v>340</v>
      </c>
      <c r="F1525">
        <v>250</v>
      </c>
      <c r="K1525" s="1">
        <v>46194.857604166667</v>
      </c>
      <c r="M1525" t="b">
        <v>0</v>
      </c>
      <c r="O1525" s="1">
        <v>46194.857604166667</v>
      </c>
    </row>
    <row r="1526" spans="1:15" x14ac:dyDescent="0.25">
      <c r="A1526">
        <v>-624034417</v>
      </c>
      <c r="B1526" t="s">
        <v>893</v>
      </c>
      <c r="G1526">
        <v>41</v>
      </c>
      <c r="H1526" t="s">
        <v>29</v>
      </c>
      <c r="I1526">
        <v>2400</v>
      </c>
      <c r="J1526">
        <v>2416.6</v>
      </c>
      <c r="L1526" t="s">
        <v>12</v>
      </c>
      <c r="M1526" t="b">
        <v>0</v>
      </c>
      <c r="O1526" s="1">
        <v>46194.857604166667</v>
      </c>
    </row>
    <row r="1527" spans="1:15" x14ac:dyDescent="0.25">
      <c r="A1527">
        <v>1623460900</v>
      </c>
      <c r="B1527" t="s">
        <v>893</v>
      </c>
      <c r="G1527">
        <v>35</v>
      </c>
      <c r="H1527" t="s">
        <v>36</v>
      </c>
      <c r="I1527">
        <v>480</v>
      </c>
      <c r="J1527">
        <v>478.5</v>
      </c>
      <c r="L1527" t="s">
        <v>12</v>
      </c>
      <c r="M1527" t="b">
        <v>0</v>
      </c>
      <c r="O1527" s="1">
        <v>46194.857604166667</v>
      </c>
    </row>
    <row r="1528" spans="1:15" x14ac:dyDescent="0.25">
      <c r="A1528">
        <v>2053012053</v>
      </c>
      <c r="B1528" t="s">
        <v>893</v>
      </c>
      <c r="G1528">
        <v>44</v>
      </c>
      <c r="H1528" t="s">
        <v>16</v>
      </c>
      <c r="I1528">
        <v>233</v>
      </c>
      <c r="J1528">
        <v>234.6</v>
      </c>
      <c r="L1528" t="s">
        <v>12</v>
      </c>
      <c r="M1528" t="b">
        <v>0</v>
      </c>
      <c r="O1528" s="1">
        <v>46194.857604166667</v>
      </c>
    </row>
    <row r="1529" spans="1:15" x14ac:dyDescent="0.25">
      <c r="A1529">
        <v>281272050</v>
      </c>
      <c r="B1529" t="s">
        <v>893</v>
      </c>
      <c r="G1529">
        <v>4</v>
      </c>
      <c r="H1529" t="s">
        <v>27</v>
      </c>
      <c r="I1529">
        <v>258</v>
      </c>
      <c r="J1529">
        <v>256</v>
      </c>
      <c r="L1529" t="s">
        <v>12</v>
      </c>
      <c r="M1529" t="b">
        <v>0</v>
      </c>
      <c r="O1529" s="1">
        <v>46194.857604166667</v>
      </c>
    </row>
    <row r="1530" spans="1:15" x14ac:dyDescent="0.25">
      <c r="A1530">
        <v>1939240361</v>
      </c>
      <c r="B1530" t="s">
        <v>894</v>
      </c>
      <c r="C1530" t="s">
        <v>882</v>
      </c>
      <c r="D1530" t="s">
        <v>218</v>
      </c>
      <c r="E1530" t="s">
        <v>364</v>
      </c>
      <c r="F1530">
        <v>50</v>
      </c>
      <c r="K1530" s="1">
        <v>46194.886874999997</v>
      </c>
      <c r="M1530" t="b">
        <v>0</v>
      </c>
      <c r="O1530" s="1">
        <v>46194.886874999997</v>
      </c>
    </row>
    <row r="1531" spans="1:15" x14ac:dyDescent="0.25">
      <c r="A1531">
        <v>1550353590</v>
      </c>
      <c r="B1531" t="s">
        <v>894</v>
      </c>
      <c r="G1531">
        <v>41</v>
      </c>
      <c r="H1531" t="s">
        <v>29</v>
      </c>
      <c r="I1531">
        <v>1380</v>
      </c>
      <c r="J1531">
        <v>1370.7</v>
      </c>
      <c r="L1531" t="s">
        <v>12</v>
      </c>
      <c r="M1531" t="b">
        <v>0</v>
      </c>
      <c r="O1531" s="1">
        <v>46194.886874999997</v>
      </c>
    </row>
    <row r="1532" spans="1:15" x14ac:dyDescent="0.25">
      <c r="A1532">
        <v>1159387135</v>
      </c>
      <c r="B1532" t="s">
        <v>894</v>
      </c>
      <c r="G1532">
        <v>35</v>
      </c>
      <c r="H1532" t="s">
        <v>36</v>
      </c>
      <c r="I1532">
        <v>121</v>
      </c>
      <c r="J1532">
        <v>120.3</v>
      </c>
      <c r="L1532" t="s">
        <v>12</v>
      </c>
      <c r="M1532" t="b">
        <v>0</v>
      </c>
      <c r="O1532" s="1">
        <v>46194.886874999997</v>
      </c>
    </row>
    <row r="1533" spans="1:15" x14ac:dyDescent="0.25">
      <c r="A1533">
        <v>-2004413996</v>
      </c>
      <c r="B1533" t="s">
        <v>894</v>
      </c>
      <c r="G1533">
        <v>11</v>
      </c>
      <c r="H1533" t="s">
        <v>33</v>
      </c>
      <c r="I1533">
        <v>15.2</v>
      </c>
      <c r="J1533">
        <v>14.9</v>
      </c>
      <c r="L1533" t="s">
        <v>15</v>
      </c>
      <c r="M1533" t="b">
        <v>0</v>
      </c>
      <c r="O1533" s="1">
        <v>46194.886874999997</v>
      </c>
    </row>
    <row r="1534" spans="1:15" x14ac:dyDescent="0.25">
      <c r="A1534">
        <v>-1430087099</v>
      </c>
      <c r="B1534" t="s">
        <v>895</v>
      </c>
      <c r="C1534" t="s">
        <v>439</v>
      </c>
      <c r="D1534" t="s">
        <v>440</v>
      </c>
      <c r="E1534" t="s">
        <v>340</v>
      </c>
      <c r="F1534">
        <v>120</v>
      </c>
      <c r="K1534" s="1">
        <v>46194.889861111114</v>
      </c>
      <c r="M1534" t="b">
        <v>0</v>
      </c>
      <c r="O1534" s="1">
        <v>46194.889861111114</v>
      </c>
    </row>
    <row r="1535" spans="1:15" x14ac:dyDescent="0.25">
      <c r="A1535">
        <v>-753984478</v>
      </c>
      <c r="B1535" t="s">
        <v>895</v>
      </c>
      <c r="G1535">
        <v>41</v>
      </c>
      <c r="H1535" t="s">
        <v>29</v>
      </c>
      <c r="I1535">
        <v>650</v>
      </c>
      <c r="J1535">
        <v>655.9</v>
      </c>
      <c r="L1535" t="s">
        <v>12</v>
      </c>
      <c r="M1535" t="b">
        <v>0</v>
      </c>
      <c r="O1535" s="1">
        <v>46194.889861111114</v>
      </c>
    </row>
    <row r="1536" spans="1:15" x14ac:dyDescent="0.25">
      <c r="A1536">
        <v>-1955693061</v>
      </c>
      <c r="B1536" t="s">
        <v>895</v>
      </c>
      <c r="G1536">
        <v>70</v>
      </c>
      <c r="H1536" t="s">
        <v>167</v>
      </c>
      <c r="I1536">
        <v>160</v>
      </c>
      <c r="J1536">
        <v>161.9</v>
      </c>
      <c r="L1536" t="s">
        <v>15</v>
      </c>
      <c r="M1536" t="b">
        <v>0</v>
      </c>
      <c r="O1536" s="1">
        <v>46194.889861111114</v>
      </c>
    </row>
    <row r="1537" spans="1:15" x14ac:dyDescent="0.25">
      <c r="A1537">
        <v>-1621383392</v>
      </c>
      <c r="B1537" t="s">
        <v>895</v>
      </c>
      <c r="G1537">
        <v>44</v>
      </c>
      <c r="H1537" t="s">
        <v>16</v>
      </c>
      <c r="I1537">
        <v>15</v>
      </c>
      <c r="J1537">
        <v>15.4</v>
      </c>
      <c r="L1537" t="s">
        <v>15</v>
      </c>
      <c r="M1537" t="b">
        <v>0</v>
      </c>
      <c r="O1537" s="1">
        <v>46194.889861111114</v>
      </c>
    </row>
    <row r="1538" spans="1:15" x14ac:dyDescent="0.25">
      <c r="A1538">
        <v>626877006</v>
      </c>
      <c r="B1538" t="s">
        <v>590</v>
      </c>
      <c r="C1538" t="s">
        <v>896</v>
      </c>
      <c r="D1538" t="s">
        <v>897</v>
      </c>
      <c r="E1538" t="s">
        <v>898</v>
      </c>
      <c r="F1538">
        <v>250</v>
      </c>
      <c r="K1538" s="1">
        <v>46194.89335648148</v>
      </c>
      <c r="M1538" t="b">
        <v>0</v>
      </c>
      <c r="O1538" s="1">
        <v>46194.89335648148</v>
      </c>
    </row>
    <row r="1539" spans="1:15" x14ac:dyDescent="0.25">
      <c r="A1539">
        <v>87841719</v>
      </c>
      <c r="B1539" t="s">
        <v>590</v>
      </c>
      <c r="G1539">
        <v>68</v>
      </c>
      <c r="H1539" t="s">
        <v>14</v>
      </c>
      <c r="I1539">
        <v>1348</v>
      </c>
      <c r="J1539">
        <v>1349</v>
      </c>
      <c r="L1539" t="s">
        <v>12</v>
      </c>
      <c r="M1539" t="b">
        <v>0</v>
      </c>
      <c r="O1539" s="1">
        <v>46194.89335648148</v>
      </c>
    </row>
    <row r="1540" spans="1:15" x14ac:dyDescent="0.25">
      <c r="A1540">
        <v>-1060992724</v>
      </c>
      <c r="B1540" t="s">
        <v>590</v>
      </c>
      <c r="G1540">
        <v>44</v>
      </c>
      <c r="H1540" t="s">
        <v>16</v>
      </c>
      <c r="I1540">
        <v>116.7</v>
      </c>
      <c r="J1540">
        <v>117.2</v>
      </c>
      <c r="L1540" t="s">
        <v>12</v>
      </c>
      <c r="M1540" t="b">
        <v>0</v>
      </c>
      <c r="O1540" s="1">
        <v>46194.89335648148</v>
      </c>
    </row>
    <row r="1541" spans="1:15" x14ac:dyDescent="0.25">
      <c r="A1541">
        <v>409969853</v>
      </c>
      <c r="B1541" t="s">
        <v>590</v>
      </c>
      <c r="G1541">
        <v>83</v>
      </c>
      <c r="H1541" t="s">
        <v>130</v>
      </c>
      <c r="I1541">
        <v>709</v>
      </c>
      <c r="J1541">
        <v>704.8</v>
      </c>
      <c r="L1541" t="s">
        <v>12</v>
      </c>
      <c r="M1541" t="b">
        <v>0</v>
      </c>
      <c r="O1541" s="1">
        <v>46194.89335648148</v>
      </c>
    </row>
    <row r="1542" spans="1:15" x14ac:dyDescent="0.25">
      <c r="A1542">
        <v>1752146068</v>
      </c>
      <c r="B1542" t="s">
        <v>899</v>
      </c>
      <c r="C1542" t="s">
        <v>379</v>
      </c>
      <c r="D1542" t="s">
        <v>647</v>
      </c>
      <c r="E1542" t="s">
        <v>336</v>
      </c>
      <c r="F1542">
        <v>450</v>
      </c>
      <c r="K1542" s="1">
        <v>46195.025358796294</v>
      </c>
      <c r="M1542" t="b">
        <v>0</v>
      </c>
      <c r="O1542" s="1">
        <v>46195.025358796294</v>
      </c>
    </row>
    <row r="1543" spans="1:15" x14ac:dyDescent="0.25">
      <c r="A1543">
        <v>-421252603</v>
      </c>
      <c r="B1543" t="s">
        <v>899</v>
      </c>
      <c r="G1543">
        <v>41</v>
      </c>
      <c r="H1543" t="s">
        <v>29</v>
      </c>
      <c r="I1543">
        <v>2250</v>
      </c>
      <c r="J1543">
        <v>2251.6999999999998</v>
      </c>
      <c r="L1543" t="s">
        <v>12</v>
      </c>
      <c r="M1543" t="b">
        <v>0</v>
      </c>
      <c r="O1543" s="1">
        <v>46195.025358796294</v>
      </c>
    </row>
    <row r="1544" spans="1:15" x14ac:dyDescent="0.25">
      <c r="A1544">
        <v>-1584042397</v>
      </c>
      <c r="B1544" t="s">
        <v>900</v>
      </c>
      <c r="C1544" t="s">
        <v>518</v>
      </c>
      <c r="D1544" t="s">
        <v>219</v>
      </c>
      <c r="E1544" t="s">
        <v>313</v>
      </c>
      <c r="F1544">
        <v>120</v>
      </c>
      <c r="K1544" s="1">
        <v>46195.075636574074</v>
      </c>
      <c r="M1544" t="b">
        <v>0</v>
      </c>
      <c r="O1544" s="1">
        <v>46195.075636574074</v>
      </c>
    </row>
    <row r="1545" spans="1:15" x14ac:dyDescent="0.25">
      <c r="A1545">
        <v>-1842259608</v>
      </c>
      <c r="B1545" t="s">
        <v>900</v>
      </c>
      <c r="G1545">
        <v>41</v>
      </c>
      <c r="H1545" t="s">
        <v>29</v>
      </c>
      <c r="I1545">
        <v>1800</v>
      </c>
      <c r="J1545">
        <v>1800.6</v>
      </c>
      <c r="L1545" t="s">
        <v>12</v>
      </c>
      <c r="M1545" t="b">
        <v>0</v>
      </c>
      <c r="O1545" s="1">
        <v>46195.075636574074</v>
      </c>
    </row>
    <row r="1546" spans="1:15" x14ac:dyDescent="0.25">
      <c r="A1546">
        <v>1526736713</v>
      </c>
      <c r="B1546" t="s">
        <v>900</v>
      </c>
      <c r="G1546">
        <v>35</v>
      </c>
      <c r="H1546" t="s">
        <v>36</v>
      </c>
      <c r="I1546">
        <v>36</v>
      </c>
      <c r="J1546">
        <v>36.4</v>
      </c>
      <c r="L1546" t="s">
        <v>15</v>
      </c>
      <c r="M1546" t="b">
        <v>0</v>
      </c>
      <c r="O1546" s="1">
        <v>46195.075636574074</v>
      </c>
    </row>
    <row r="1547" spans="1:15" x14ac:dyDescent="0.25">
      <c r="A1547">
        <v>1200782806</v>
      </c>
      <c r="B1547" t="s">
        <v>900</v>
      </c>
      <c r="G1547">
        <v>26</v>
      </c>
      <c r="H1547" t="s">
        <v>186</v>
      </c>
      <c r="I1547">
        <v>24</v>
      </c>
      <c r="J1547">
        <v>24.3</v>
      </c>
      <c r="L1547" t="s">
        <v>15</v>
      </c>
      <c r="M1547" t="b">
        <v>0</v>
      </c>
      <c r="O1547" s="1">
        <v>46195.075636574074</v>
      </c>
    </row>
    <row r="1548" spans="1:15" x14ac:dyDescent="0.25">
      <c r="A1548">
        <v>538028337</v>
      </c>
      <c r="B1548" t="s">
        <v>901</v>
      </c>
      <c r="C1548" t="s">
        <v>886</v>
      </c>
      <c r="D1548" t="s">
        <v>225</v>
      </c>
      <c r="E1548" t="s">
        <v>340</v>
      </c>
      <c r="F1548">
        <v>450</v>
      </c>
      <c r="K1548" s="1">
        <v>46195.112500000003</v>
      </c>
      <c r="M1548" t="b">
        <v>0</v>
      </c>
      <c r="O1548" s="1">
        <v>46195.112500000003</v>
      </c>
    </row>
    <row r="1549" spans="1:15" x14ac:dyDescent="0.25">
      <c r="A1549">
        <v>-1738751074</v>
      </c>
      <c r="B1549" t="s">
        <v>901</v>
      </c>
      <c r="G1549">
        <v>41</v>
      </c>
      <c r="H1549" t="s">
        <v>29</v>
      </c>
      <c r="I1549">
        <v>4950</v>
      </c>
      <c r="J1549">
        <v>4928.3999999999996</v>
      </c>
      <c r="L1549" t="s">
        <v>12</v>
      </c>
      <c r="M1549" t="b">
        <v>0</v>
      </c>
      <c r="O1549" s="1">
        <v>46195.112500000003</v>
      </c>
    </row>
    <row r="1550" spans="1:15" x14ac:dyDescent="0.25">
      <c r="A1550">
        <v>1905153735</v>
      </c>
      <c r="B1550" t="s">
        <v>901</v>
      </c>
      <c r="G1550">
        <v>35</v>
      </c>
      <c r="H1550" t="s">
        <v>36</v>
      </c>
      <c r="I1550">
        <v>1080</v>
      </c>
      <c r="J1550">
        <v>1080.3</v>
      </c>
      <c r="L1550" t="s">
        <v>12</v>
      </c>
      <c r="M1550" t="b">
        <v>0</v>
      </c>
      <c r="O1550" s="1">
        <v>46195.112500000003</v>
      </c>
    </row>
    <row r="1551" spans="1:15" x14ac:dyDescent="0.25">
      <c r="A1551">
        <v>-423884036</v>
      </c>
      <c r="B1551" t="s">
        <v>901</v>
      </c>
      <c r="G1551">
        <v>44</v>
      </c>
      <c r="H1551" t="s">
        <v>16</v>
      </c>
      <c r="I1551">
        <v>526.5</v>
      </c>
      <c r="J1551">
        <v>525.4</v>
      </c>
      <c r="L1551" t="s">
        <v>12</v>
      </c>
      <c r="M1551" t="b">
        <v>0</v>
      </c>
      <c r="O1551" s="1">
        <v>46195.112500000003</v>
      </c>
    </row>
    <row r="1552" spans="1:15" x14ac:dyDescent="0.25">
      <c r="A1552">
        <v>1407997517</v>
      </c>
      <c r="B1552" t="s">
        <v>901</v>
      </c>
      <c r="G1552">
        <v>4</v>
      </c>
      <c r="H1552" t="s">
        <v>27</v>
      </c>
      <c r="I1552">
        <v>463.5</v>
      </c>
      <c r="J1552">
        <v>462.6</v>
      </c>
      <c r="L1552" t="s">
        <v>12</v>
      </c>
      <c r="M1552" t="b">
        <v>0</v>
      </c>
      <c r="O1552" s="1">
        <v>46195.112500000003</v>
      </c>
    </row>
    <row r="1553" spans="1:15" x14ac:dyDescent="0.25">
      <c r="A1553">
        <v>-1133214154</v>
      </c>
      <c r="B1553" t="s">
        <v>902</v>
      </c>
      <c r="C1553" t="s">
        <v>903</v>
      </c>
      <c r="D1553" t="s">
        <v>678</v>
      </c>
      <c r="E1553" t="s">
        <v>340</v>
      </c>
      <c r="F1553">
        <v>100</v>
      </c>
      <c r="K1553" s="1">
        <v>46195.11891203704</v>
      </c>
      <c r="M1553" t="b">
        <v>0</v>
      </c>
      <c r="O1553" s="1">
        <v>46195.11891203704</v>
      </c>
    </row>
    <row r="1554" spans="1:15" x14ac:dyDescent="0.25">
      <c r="A1554">
        <v>-795862145</v>
      </c>
      <c r="B1554" t="s">
        <v>902</v>
      </c>
      <c r="G1554">
        <v>41</v>
      </c>
      <c r="H1554" t="s">
        <v>29</v>
      </c>
      <c r="I1554">
        <v>1140</v>
      </c>
      <c r="J1554">
        <v>1137</v>
      </c>
      <c r="L1554" t="s">
        <v>12</v>
      </c>
      <c r="M1554" t="b">
        <v>0</v>
      </c>
      <c r="O1554" s="1">
        <v>46195.11891203704</v>
      </c>
    </row>
    <row r="1555" spans="1:15" x14ac:dyDescent="0.25">
      <c r="A1555">
        <v>-959910060</v>
      </c>
      <c r="B1555" t="s">
        <v>902</v>
      </c>
      <c r="G1555">
        <v>51</v>
      </c>
      <c r="H1555" t="s">
        <v>137</v>
      </c>
      <c r="I1555">
        <v>42</v>
      </c>
      <c r="J1555">
        <v>41.9</v>
      </c>
      <c r="L1555" t="s">
        <v>12</v>
      </c>
      <c r="M1555" t="b">
        <v>0</v>
      </c>
      <c r="O1555" s="1">
        <v>46195.11891203704</v>
      </c>
    </row>
    <row r="1556" spans="1:15" x14ac:dyDescent="0.25">
      <c r="A1556">
        <v>-1453880891</v>
      </c>
      <c r="B1556" t="s">
        <v>902</v>
      </c>
      <c r="G1556">
        <v>11</v>
      </c>
      <c r="H1556" t="s">
        <v>33</v>
      </c>
      <c r="I1556">
        <v>20</v>
      </c>
      <c r="J1556">
        <v>20</v>
      </c>
      <c r="L1556" t="s">
        <v>12</v>
      </c>
      <c r="M1556" t="b">
        <v>0</v>
      </c>
      <c r="O1556" s="1">
        <v>46195.11891203704</v>
      </c>
    </row>
    <row r="1557" spans="1:15" x14ac:dyDescent="0.25">
      <c r="A1557">
        <v>-1033226846</v>
      </c>
      <c r="B1557" t="s">
        <v>904</v>
      </c>
      <c r="C1557" t="s">
        <v>905</v>
      </c>
      <c r="D1557" t="s">
        <v>906</v>
      </c>
      <c r="E1557" t="s">
        <v>336</v>
      </c>
      <c r="F1557">
        <v>250</v>
      </c>
      <c r="K1557" s="1">
        <v>46195.122152777774</v>
      </c>
      <c r="M1557" t="b">
        <v>0</v>
      </c>
      <c r="O1557" s="1">
        <v>46195.122152777774</v>
      </c>
    </row>
    <row r="1558" spans="1:15" x14ac:dyDescent="0.25">
      <c r="A1558">
        <v>1465579899</v>
      </c>
      <c r="B1558" t="s">
        <v>904</v>
      </c>
      <c r="G1558">
        <v>41</v>
      </c>
      <c r="H1558" t="s">
        <v>29</v>
      </c>
      <c r="I1558">
        <v>3675</v>
      </c>
      <c r="J1558">
        <v>3673.1</v>
      </c>
      <c r="L1558" t="s">
        <v>12</v>
      </c>
      <c r="M1558" t="b">
        <v>0</v>
      </c>
      <c r="O1558" s="1">
        <v>46195.122152777774</v>
      </c>
    </row>
    <row r="1559" spans="1:15" x14ac:dyDescent="0.25">
      <c r="A1559">
        <v>1323457696</v>
      </c>
      <c r="B1559" t="s">
        <v>904</v>
      </c>
      <c r="G1559">
        <v>68</v>
      </c>
      <c r="H1559" t="s">
        <v>14</v>
      </c>
      <c r="I1559">
        <v>145</v>
      </c>
      <c r="J1559">
        <v>144.80000000000001</v>
      </c>
      <c r="L1559" t="s">
        <v>12</v>
      </c>
      <c r="M1559" t="b">
        <v>0</v>
      </c>
      <c r="O1559" s="1">
        <v>46195.122152777774</v>
      </c>
    </row>
    <row r="1560" spans="1:15" x14ac:dyDescent="0.25">
      <c r="A1560">
        <v>1157761057</v>
      </c>
      <c r="B1560" t="s">
        <v>904</v>
      </c>
      <c r="G1560">
        <v>11</v>
      </c>
      <c r="H1560" t="s">
        <v>33</v>
      </c>
      <c r="I1560">
        <v>53.5</v>
      </c>
      <c r="J1560">
        <v>53.9</v>
      </c>
      <c r="L1560" t="s">
        <v>12</v>
      </c>
      <c r="M1560" t="b">
        <v>0</v>
      </c>
      <c r="O1560" s="1">
        <v>46195.122152777774</v>
      </c>
    </row>
    <row r="1561" spans="1:15" x14ac:dyDescent="0.25">
      <c r="A1561">
        <v>-100793856</v>
      </c>
      <c r="B1561" t="s">
        <v>907</v>
      </c>
      <c r="C1561" t="s">
        <v>356</v>
      </c>
      <c r="D1561" t="s">
        <v>224</v>
      </c>
      <c r="E1561" t="s">
        <v>336</v>
      </c>
      <c r="F1561">
        <v>50</v>
      </c>
      <c r="K1561" s="1">
        <v>46195.210914351854</v>
      </c>
      <c r="M1561" t="b">
        <v>0</v>
      </c>
      <c r="O1561" s="1">
        <v>46195.210914351854</v>
      </c>
    </row>
    <row r="1562" spans="1:15" x14ac:dyDescent="0.25">
      <c r="A1562">
        <v>-1485678079</v>
      </c>
      <c r="B1562" t="s">
        <v>907</v>
      </c>
      <c r="G1562">
        <v>41</v>
      </c>
      <c r="H1562" t="s">
        <v>29</v>
      </c>
      <c r="I1562">
        <v>813.5</v>
      </c>
      <c r="J1562">
        <v>815.1</v>
      </c>
      <c r="L1562" t="s">
        <v>12</v>
      </c>
      <c r="M1562" t="b">
        <v>0</v>
      </c>
      <c r="O1562" s="1">
        <v>46195.210914351854</v>
      </c>
    </row>
    <row r="1563" spans="1:15" x14ac:dyDescent="0.25">
      <c r="A1563">
        <v>1731639342</v>
      </c>
      <c r="B1563" t="s">
        <v>907</v>
      </c>
      <c r="G1563">
        <v>35</v>
      </c>
      <c r="H1563" t="s">
        <v>36</v>
      </c>
      <c r="I1563">
        <v>118.2</v>
      </c>
      <c r="J1563">
        <v>117.7</v>
      </c>
      <c r="L1563" t="s">
        <v>12</v>
      </c>
      <c r="M1563" t="b">
        <v>0</v>
      </c>
      <c r="O1563" s="1">
        <v>46195.210914351854</v>
      </c>
    </row>
    <row r="1564" spans="1:15" x14ac:dyDescent="0.25">
      <c r="A1564">
        <v>-208161769</v>
      </c>
      <c r="B1564" t="s">
        <v>907</v>
      </c>
      <c r="G1564">
        <v>16</v>
      </c>
      <c r="H1564" t="s">
        <v>13</v>
      </c>
      <c r="I1564">
        <v>108.5</v>
      </c>
      <c r="J1564">
        <v>109.2</v>
      </c>
      <c r="L1564" t="s">
        <v>12</v>
      </c>
      <c r="M1564" t="b">
        <v>0</v>
      </c>
      <c r="O1564" s="1">
        <v>46195.210914351854</v>
      </c>
    </row>
    <row r="1565" spans="1:15" x14ac:dyDescent="0.25">
      <c r="A1565">
        <v>-1719228682</v>
      </c>
      <c r="B1565" t="s">
        <v>908</v>
      </c>
      <c r="C1565" t="s">
        <v>525</v>
      </c>
      <c r="D1565" t="s">
        <v>526</v>
      </c>
      <c r="E1565" t="s">
        <v>336</v>
      </c>
      <c r="F1565">
        <v>50</v>
      </c>
      <c r="K1565" s="1">
        <v>46195.269293981481</v>
      </c>
      <c r="M1565" t="b">
        <v>0</v>
      </c>
      <c r="O1565" s="1">
        <v>46195.269293981481</v>
      </c>
    </row>
    <row r="1566" spans="1:15" x14ac:dyDescent="0.25">
      <c r="A1566">
        <v>1714183487</v>
      </c>
      <c r="B1566" t="s">
        <v>908</v>
      </c>
      <c r="G1566">
        <v>41</v>
      </c>
      <c r="H1566" t="s">
        <v>29</v>
      </c>
      <c r="I1566">
        <v>1335</v>
      </c>
      <c r="J1566">
        <v>1335.8</v>
      </c>
      <c r="L1566" t="s">
        <v>12</v>
      </c>
      <c r="M1566" t="b">
        <v>0</v>
      </c>
      <c r="O1566" s="1">
        <v>46195.269293981481</v>
      </c>
    </row>
    <row r="1567" spans="1:15" x14ac:dyDescent="0.25">
      <c r="A1567">
        <v>642973204</v>
      </c>
      <c r="B1567" t="s">
        <v>908</v>
      </c>
      <c r="G1567">
        <v>4</v>
      </c>
      <c r="H1567" t="s">
        <v>27</v>
      </c>
      <c r="I1567">
        <v>400</v>
      </c>
      <c r="J1567">
        <v>400.7</v>
      </c>
      <c r="L1567" t="s">
        <v>12</v>
      </c>
      <c r="M1567" t="b">
        <v>0</v>
      </c>
      <c r="O1567" s="1">
        <v>46195.269293981481</v>
      </c>
    </row>
    <row r="1568" spans="1:15" x14ac:dyDescent="0.25">
      <c r="A1568">
        <v>353754022</v>
      </c>
      <c r="B1568" t="s">
        <v>909</v>
      </c>
      <c r="C1568" t="s">
        <v>338</v>
      </c>
      <c r="D1568" t="s">
        <v>416</v>
      </c>
      <c r="E1568" t="s">
        <v>340</v>
      </c>
      <c r="F1568">
        <v>50</v>
      </c>
      <c r="K1568" s="1">
        <v>46205.309502314813</v>
      </c>
      <c r="M1568" t="b">
        <v>0</v>
      </c>
      <c r="O1568" s="1">
        <v>46205.309502314813</v>
      </c>
    </row>
    <row r="1569" spans="1:15" x14ac:dyDescent="0.25">
      <c r="A1569">
        <v>-2085699537</v>
      </c>
      <c r="B1569" t="s">
        <v>909</v>
      </c>
      <c r="G1569">
        <v>41</v>
      </c>
      <c r="H1569" t="s">
        <v>29</v>
      </c>
      <c r="I1569">
        <v>520</v>
      </c>
      <c r="J1569">
        <v>520.16</v>
      </c>
      <c r="L1569" t="s">
        <v>12</v>
      </c>
      <c r="M1569" t="b">
        <v>0</v>
      </c>
      <c r="O1569" s="1">
        <v>46205.309502314813</v>
      </c>
    </row>
    <row r="1570" spans="1:15" x14ac:dyDescent="0.25">
      <c r="A1570">
        <v>-2027814332</v>
      </c>
      <c r="B1570" t="s">
        <v>909</v>
      </c>
      <c r="G1570">
        <v>35</v>
      </c>
      <c r="H1570" t="s">
        <v>36</v>
      </c>
      <c r="I1570">
        <v>32.5</v>
      </c>
      <c r="J1570">
        <v>32.47</v>
      </c>
      <c r="L1570" t="s">
        <v>12</v>
      </c>
      <c r="M1570" t="b">
        <v>0</v>
      </c>
      <c r="O1570" s="1">
        <v>46205.309502314813</v>
      </c>
    </row>
    <row r="1571" spans="1:15" x14ac:dyDescent="0.25">
      <c r="A1571">
        <v>-1945928203</v>
      </c>
      <c r="B1571" t="s">
        <v>909</v>
      </c>
      <c r="G1571">
        <v>44</v>
      </c>
      <c r="H1571" t="s">
        <v>16</v>
      </c>
      <c r="I1571">
        <v>1.25</v>
      </c>
      <c r="J1571">
        <v>1.24</v>
      </c>
      <c r="L1571" t="s">
        <v>12</v>
      </c>
      <c r="M1571" t="b">
        <v>0</v>
      </c>
      <c r="O1571" s="1">
        <v>46205.309502314813</v>
      </c>
    </row>
    <row r="1572" spans="1:15" x14ac:dyDescent="0.25">
      <c r="A1572">
        <v>872890898</v>
      </c>
      <c r="B1572" t="s">
        <v>909</v>
      </c>
      <c r="G1572">
        <v>59</v>
      </c>
      <c r="H1572" t="s">
        <v>31</v>
      </c>
      <c r="I1572">
        <v>15</v>
      </c>
      <c r="J1572">
        <v>14.99</v>
      </c>
      <c r="L1572" t="s">
        <v>12</v>
      </c>
      <c r="M1572" t="b">
        <v>0</v>
      </c>
      <c r="O1572" s="1">
        <v>46205.309502314813</v>
      </c>
    </row>
    <row r="1573" spans="1:15" x14ac:dyDescent="0.25">
      <c r="A1573">
        <v>1843175813</v>
      </c>
      <c r="B1573" t="s">
        <v>910</v>
      </c>
      <c r="C1573" t="s">
        <v>430</v>
      </c>
      <c r="D1573" t="s">
        <v>500</v>
      </c>
      <c r="E1573" t="s">
        <v>340</v>
      </c>
      <c r="F1573">
        <v>250</v>
      </c>
      <c r="K1573" s="1">
        <v>46195.275057870371</v>
      </c>
      <c r="M1573" t="b">
        <v>0</v>
      </c>
      <c r="O1573" s="1">
        <v>46195.275057870371</v>
      </c>
    </row>
    <row r="1574" spans="1:15" x14ac:dyDescent="0.25">
      <c r="A1574">
        <v>287695458</v>
      </c>
      <c r="B1574" t="s">
        <v>910</v>
      </c>
      <c r="G1574">
        <v>41</v>
      </c>
      <c r="H1574" t="s">
        <v>29</v>
      </c>
      <c r="I1574">
        <v>3000</v>
      </c>
      <c r="J1574">
        <v>3003.9</v>
      </c>
      <c r="L1574" t="s">
        <v>12</v>
      </c>
      <c r="M1574" t="b">
        <v>0</v>
      </c>
      <c r="O1574" s="1">
        <v>46195.275057870371</v>
      </c>
    </row>
    <row r="1575" spans="1:15" x14ac:dyDescent="0.25">
      <c r="A1575">
        <v>999085883</v>
      </c>
      <c r="B1575" t="s">
        <v>910</v>
      </c>
      <c r="G1575">
        <v>35</v>
      </c>
      <c r="H1575" t="s">
        <v>36</v>
      </c>
      <c r="I1575">
        <v>465</v>
      </c>
      <c r="J1575">
        <v>464.4</v>
      </c>
      <c r="L1575" t="s">
        <v>12</v>
      </c>
      <c r="M1575" t="b">
        <v>0</v>
      </c>
      <c r="O1575" s="1">
        <v>46195.275057870371</v>
      </c>
    </row>
    <row r="1576" spans="1:15" x14ac:dyDescent="0.25">
      <c r="A1576">
        <v>-387917984</v>
      </c>
      <c r="B1576" t="s">
        <v>910</v>
      </c>
      <c r="G1576">
        <v>44</v>
      </c>
      <c r="H1576" t="s">
        <v>16</v>
      </c>
      <c r="I1576">
        <v>185</v>
      </c>
      <c r="J1576">
        <v>184.9</v>
      </c>
      <c r="L1576" t="s">
        <v>12</v>
      </c>
      <c r="M1576" t="b">
        <v>0</v>
      </c>
      <c r="O1576" s="1">
        <v>46195.275057870371</v>
      </c>
    </row>
    <row r="1577" spans="1:15" x14ac:dyDescent="0.25">
      <c r="A1577">
        <v>-385475615</v>
      </c>
      <c r="B1577" t="s">
        <v>911</v>
      </c>
      <c r="C1577" t="s">
        <v>392</v>
      </c>
      <c r="D1577" t="s">
        <v>912</v>
      </c>
      <c r="E1577" t="s">
        <v>313</v>
      </c>
      <c r="F1577">
        <v>250</v>
      </c>
      <c r="K1577" s="1">
        <v>46195.289756944447</v>
      </c>
      <c r="M1577" t="b">
        <v>0</v>
      </c>
      <c r="O1577" s="1">
        <v>46195.289756944447</v>
      </c>
    </row>
    <row r="1578" spans="1:15" x14ac:dyDescent="0.25">
      <c r="A1578">
        <v>-966849394</v>
      </c>
      <c r="B1578" t="s">
        <v>911</v>
      </c>
      <c r="G1578">
        <v>41</v>
      </c>
      <c r="H1578" t="s">
        <v>29</v>
      </c>
      <c r="I1578">
        <v>5005</v>
      </c>
      <c r="J1578">
        <v>5006.8999999999996</v>
      </c>
      <c r="L1578" t="s">
        <v>12</v>
      </c>
      <c r="M1578" t="b">
        <v>0</v>
      </c>
      <c r="O1578" s="1">
        <v>46195.289756944447</v>
      </c>
    </row>
    <row r="1579" spans="1:15" x14ac:dyDescent="0.25">
      <c r="A1579">
        <v>561826039</v>
      </c>
      <c r="B1579" t="s">
        <v>911</v>
      </c>
      <c r="G1579">
        <v>4</v>
      </c>
      <c r="H1579" t="s">
        <v>27</v>
      </c>
      <c r="I1579">
        <v>1000</v>
      </c>
      <c r="J1579">
        <v>1003.9</v>
      </c>
      <c r="L1579" t="s">
        <v>12</v>
      </c>
      <c r="M1579" t="b">
        <v>0</v>
      </c>
      <c r="O1579" s="1">
        <v>46195.289756944447</v>
      </c>
    </row>
    <row r="1580" spans="1:15" x14ac:dyDescent="0.25">
      <c r="A1580">
        <v>-1438827156</v>
      </c>
      <c r="B1580" t="s">
        <v>911</v>
      </c>
      <c r="G1580">
        <v>11</v>
      </c>
      <c r="H1580" t="s">
        <v>33</v>
      </c>
      <c r="I1580">
        <v>2187.5</v>
      </c>
      <c r="J1580">
        <v>2187.8000000000002</v>
      </c>
      <c r="L1580" t="s">
        <v>12</v>
      </c>
      <c r="M1580" t="b">
        <v>0</v>
      </c>
      <c r="O1580" s="1">
        <v>46195.289756944447</v>
      </c>
    </row>
    <row r="1581" spans="1:15" x14ac:dyDescent="0.25">
      <c r="A1581">
        <v>250003286</v>
      </c>
      <c r="B1581" t="s">
        <v>913</v>
      </c>
      <c r="C1581" t="s">
        <v>518</v>
      </c>
      <c r="D1581" t="s">
        <v>219</v>
      </c>
      <c r="E1581" t="s">
        <v>340</v>
      </c>
      <c r="F1581">
        <v>120</v>
      </c>
      <c r="K1581" s="1">
        <v>46195.311342592591</v>
      </c>
      <c r="M1581" t="b">
        <v>0</v>
      </c>
      <c r="O1581" s="1">
        <v>46195.311342592591</v>
      </c>
    </row>
    <row r="1582" spans="1:15" x14ac:dyDescent="0.25">
      <c r="A1582">
        <v>-1778981345</v>
      </c>
      <c r="B1582" t="s">
        <v>913</v>
      </c>
      <c r="G1582">
        <v>41</v>
      </c>
      <c r="H1582" t="s">
        <v>29</v>
      </c>
      <c r="I1582">
        <v>1800</v>
      </c>
      <c r="J1582">
        <v>1806.7</v>
      </c>
      <c r="L1582" t="s">
        <v>12</v>
      </c>
      <c r="M1582" t="b">
        <v>0</v>
      </c>
      <c r="O1582" s="1">
        <v>46195.311342592591</v>
      </c>
    </row>
    <row r="1583" spans="1:15" x14ac:dyDescent="0.25">
      <c r="A1583">
        <v>1541819764</v>
      </c>
      <c r="B1583" t="s">
        <v>913</v>
      </c>
      <c r="G1583">
        <v>35</v>
      </c>
      <c r="H1583" t="s">
        <v>36</v>
      </c>
      <c r="I1583">
        <v>36</v>
      </c>
      <c r="J1583">
        <v>36.6</v>
      </c>
      <c r="L1583" t="s">
        <v>15</v>
      </c>
      <c r="M1583" t="b">
        <v>0</v>
      </c>
      <c r="O1583" s="1">
        <v>46195.311342592591</v>
      </c>
    </row>
    <row r="1584" spans="1:15" x14ac:dyDescent="0.25">
      <c r="A1584">
        <v>705811813</v>
      </c>
      <c r="B1584" t="s">
        <v>913</v>
      </c>
      <c r="G1584">
        <v>26</v>
      </c>
      <c r="H1584" t="s">
        <v>186</v>
      </c>
      <c r="I1584">
        <v>24</v>
      </c>
      <c r="J1584">
        <v>24.5</v>
      </c>
      <c r="L1584" t="s">
        <v>15</v>
      </c>
      <c r="M1584" t="b">
        <v>0</v>
      </c>
      <c r="O1584" s="1">
        <v>46195.311342592591</v>
      </c>
    </row>
    <row r="1585" spans="1:15" x14ac:dyDescent="0.25">
      <c r="A1585">
        <v>-1927096883</v>
      </c>
      <c r="B1585" t="s">
        <v>914</v>
      </c>
      <c r="C1585" t="s">
        <v>886</v>
      </c>
      <c r="D1585" t="s">
        <v>225</v>
      </c>
      <c r="E1585" t="s">
        <v>340</v>
      </c>
      <c r="F1585">
        <v>300</v>
      </c>
      <c r="K1585" s="1">
        <v>46195.357164351852</v>
      </c>
      <c r="M1585" t="b">
        <v>0</v>
      </c>
      <c r="O1585" s="1">
        <v>46195.357164351852</v>
      </c>
    </row>
    <row r="1586" spans="1:15" x14ac:dyDescent="0.25">
      <c r="A1586">
        <v>1299563274</v>
      </c>
      <c r="B1586" t="s">
        <v>914</v>
      </c>
      <c r="G1586">
        <v>41</v>
      </c>
      <c r="H1586" t="s">
        <v>29</v>
      </c>
      <c r="I1586">
        <v>4980</v>
      </c>
      <c r="J1586">
        <v>4985</v>
      </c>
      <c r="L1586" t="s">
        <v>12</v>
      </c>
      <c r="M1586" t="b">
        <v>0</v>
      </c>
      <c r="O1586" s="1">
        <v>46195.357164351852</v>
      </c>
    </row>
    <row r="1587" spans="1:15" x14ac:dyDescent="0.25">
      <c r="A1587">
        <v>2070824131</v>
      </c>
      <c r="B1587" t="s">
        <v>914</v>
      </c>
      <c r="G1587">
        <v>35</v>
      </c>
      <c r="H1587" t="s">
        <v>36</v>
      </c>
      <c r="I1587">
        <v>867</v>
      </c>
      <c r="J1587">
        <v>869.8</v>
      </c>
      <c r="L1587" t="s">
        <v>12</v>
      </c>
      <c r="M1587" t="b">
        <v>0</v>
      </c>
      <c r="O1587" s="1">
        <v>46195.357164351852</v>
      </c>
    </row>
    <row r="1588" spans="1:15" x14ac:dyDescent="0.25">
      <c r="A1588">
        <v>1709787208</v>
      </c>
      <c r="B1588" t="s">
        <v>914</v>
      </c>
      <c r="G1588">
        <v>44</v>
      </c>
      <c r="H1588" t="s">
        <v>16</v>
      </c>
      <c r="I1588">
        <v>408</v>
      </c>
      <c r="J1588">
        <v>407.6</v>
      </c>
      <c r="L1588" t="s">
        <v>12</v>
      </c>
      <c r="M1588" t="b">
        <v>0</v>
      </c>
      <c r="O1588" s="1">
        <v>46195.357164351852</v>
      </c>
    </row>
    <row r="1589" spans="1:15" x14ac:dyDescent="0.25">
      <c r="A1589">
        <v>720528553</v>
      </c>
      <c r="B1589" t="s">
        <v>914</v>
      </c>
      <c r="G1589">
        <v>4</v>
      </c>
      <c r="H1589" t="s">
        <v>27</v>
      </c>
      <c r="I1589">
        <v>330</v>
      </c>
      <c r="J1589">
        <v>333.3</v>
      </c>
      <c r="L1589" t="s">
        <v>15</v>
      </c>
      <c r="M1589" t="b">
        <v>0</v>
      </c>
      <c r="O1589" s="1">
        <v>46195.357164351852</v>
      </c>
    </row>
    <row r="1590" spans="1:15" x14ac:dyDescent="0.25">
      <c r="A1590">
        <v>732032241</v>
      </c>
      <c r="B1590" t="s">
        <v>915</v>
      </c>
      <c r="C1590" t="s">
        <v>916</v>
      </c>
      <c r="D1590" t="s">
        <v>917</v>
      </c>
      <c r="E1590" t="s">
        <v>340</v>
      </c>
      <c r="F1590">
        <v>50</v>
      </c>
      <c r="K1590" s="1">
        <v>46205.463495370372</v>
      </c>
      <c r="M1590" t="b">
        <v>0</v>
      </c>
      <c r="O1590" s="1">
        <v>46205.463495370372</v>
      </c>
    </row>
    <row r="1591" spans="1:15" x14ac:dyDescent="0.25">
      <c r="A1591">
        <v>1838623838</v>
      </c>
      <c r="B1591" t="s">
        <v>915</v>
      </c>
      <c r="G1591">
        <v>41</v>
      </c>
      <c r="H1591" t="s">
        <v>29</v>
      </c>
      <c r="I1591">
        <v>264.5</v>
      </c>
      <c r="J1591">
        <v>265.49</v>
      </c>
      <c r="L1591" t="s">
        <v>12</v>
      </c>
      <c r="M1591" t="b">
        <v>0</v>
      </c>
      <c r="O1591" s="1">
        <v>46205.463495370372</v>
      </c>
    </row>
    <row r="1592" spans="1:15" x14ac:dyDescent="0.25">
      <c r="A1592">
        <v>-688963449</v>
      </c>
      <c r="B1592" t="s">
        <v>915</v>
      </c>
      <c r="G1592">
        <v>35</v>
      </c>
      <c r="H1592" t="s">
        <v>36</v>
      </c>
      <c r="I1592">
        <v>37.5</v>
      </c>
      <c r="J1592">
        <v>37.479999999999997</v>
      </c>
      <c r="L1592" t="s">
        <v>12</v>
      </c>
      <c r="M1592" t="b">
        <v>0</v>
      </c>
      <c r="O1592" s="1">
        <v>46205.463495370372</v>
      </c>
    </row>
    <row r="1593" spans="1:15" x14ac:dyDescent="0.25">
      <c r="A1593">
        <v>2059903420</v>
      </c>
      <c r="B1593" t="s">
        <v>915</v>
      </c>
      <c r="G1593">
        <v>44</v>
      </c>
      <c r="H1593" t="s">
        <v>16</v>
      </c>
      <c r="I1593">
        <v>3.5</v>
      </c>
      <c r="J1593">
        <v>3.51</v>
      </c>
      <c r="L1593" t="s">
        <v>12</v>
      </c>
      <c r="M1593" t="b">
        <v>0</v>
      </c>
      <c r="O1593" s="1">
        <v>46205.463495370372</v>
      </c>
    </row>
    <row r="1594" spans="1:15" x14ac:dyDescent="0.25">
      <c r="A1594">
        <v>-1285138931</v>
      </c>
      <c r="B1594" t="s">
        <v>915</v>
      </c>
      <c r="G1594">
        <v>59</v>
      </c>
      <c r="H1594" t="s">
        <v>31</v>
      </c>
      <c r="I1594">
        <v>11.5</v>
      </c>
      <c r="J1594">
        <v>11.59</v>
      </c>
      <c r="L1594" t="s">
        <v>12</v>
      </c>
      <c r="M1594" t="b">
        <v>0</v>
      </c>
      <c r="O1594" s="1">
        <v>46205.463495370372</v>
      </c>
    </row>
    <row r="1595" spans="1:15" x14ac:dyDescent="0.25">
      <c r="A1595">
        <v>1380778006</v>
      </c>
      <c r="B1595" t="s">
        <v>918</v>
      </c>
      <c r="C1595" t="s">
        <v>338</v>
      </c>
      <c r="D1595" t="s">
        <v>422</v>
      </c>
      <c r="E1595" t="s">
        <v>313</v>
      </c>
      <c r="F1595">
        <v>50</v>
      </c>
      <c r="K1595" s="1">
        <v>46195.431087962963</v>
      </c>
      <c r="M1595" t="b">
        <v>0</v>
      </c>
      <c r="O1595" s="1">
        <v>46195.431087962963</v>
      </c>
    </row>
    <row r="1596" spans="1:15" x14ac:dyDescent="0.25">
      <c r="A1596">
        <v>-1122187297</v>
      </c>
      <c r="B1596" t="s">
        <v>918</v>
      </c>
      <c r="G1596">
        <v>41</v>
      </c>
      <c r="H1596" t="s">
        <v>29</v>
      </c>
      <c r="I1596">
        <v>675</v>
      </c>
      <c r="J1596">
        <v>674.5</v>
      </c>
      <c r="L1596" t="s">
        <v>12</v>
      </c>
      <c r="M1596" t="b">
        <v>0</v>
      </c>
      <c r="O1596" s="1">
        <v>46195.431087962963</v>
      </c>
    </row>
    <row r="1597" spans="1:15" x14ac:dyDescent="0.25">
      <c r="A1597">
        <v>-161383372</v>
      </c>
      <c r="B1597" t="s">
        <v>918</v>
      </c>
      <c r="G1597">
        <v>68</v>
      </c>
      <c r="H1597" t="s">
        <v>14</v>
      </c>
      <c r="I1597">
        <v>67.5</v>
      </c>
      <c r="J1597">
        <v>67.400000000000006</v>
      </c>
      <c r="L1597" t="s">
        <v>12</v>
      </c>
      <c r="M1597" t="b">
        <v>0</v>
      </c>
      <c r="O1597" s="1">
        <v>46195.431087962963</v>
      </c>
    </row>
    <row r="1598" spans="1:15" x14ac:dyDescent="0.25">
      <c r="A1598">
        <v>-306606811</v>
      </c>
      <c r="B1598" t="s">
        <v>918</v>
      </c>
      <c r="G1598">
        <v>11</v>
      </c>
      <c r="H1598" t="s">
        <v>33</v>
      </c>
      <c r="I1598">
        <v>32.5</v>
      </c>
      <c r="J1598">
        <v>32.6</v>
      </c>
      <c r="L1598" t="s">
        <v>12</v>
      </c>
      <c r="M1598" t="b">
        <v>0</v>
      </c>
      <c r="O1598" s="1">
        <v>46195.431087962963</v>
      </c>
    </row>
    <row r="1599" spans="1:15" x14ac:dyDescent="0.25">
      <c r="A1599">
        <v>1618574306</v>
      </c>
      <c r="B1599" t="s">
        <v>919</v>
      </c>
      <c r="C1599" t="s">
        <v>338</v>
      </c>
      <c r="D1599" t="s">
        <v>920</v>
      </c>
      <c r="E1599" t="s">
        <v>340</v>
      </c>
      <c r="F1599">
        <v>250</v>
      </c>
      <c r="K1599" s="1">
        <v>46195.525370370371</v>
      </c>
      <c r="M1599" t="b">
        <v>0</v>
      </c>
      <c r="O1599" s="1">
        <v>46195.525370370371</v>
      </c>
    </row>
    <row r="1600" spans="1:15" x14ac:dyDescent="0.25">
      <c r="A1600">
        <v>690475707</v>
      </c>
      <c r="B1600" t="s">
        <v>919</v>
      </c>
      <c r="G1600">
        <v>41</v>
      </c>
      <c r="H1600" t="s">
        <v>29</v>
      </c>
      <c r="I1600">
        <v>4000</v>
      </c>
      <c r="J1600">
        <v>4010.9</v>
      </c>
      <c r="L1600" t="s">
        <v>12</v>
      </c>
      <c r="M1600" t="b">
        <v>0</v>
      </c>
      <c r="O1600" s="1">
        <v>46195.525370370371</v>
      </c>
    </row>
    <row r="1601" spans="1:15" x14ac:dyDescent="0.25">
      <c r="A1601">
        <v>1259605216</v>
      </c>
      <c r="B1601" t="s">
        <v>919</v>
      </c>
      <c r="G1601">
        <v>59</v>
      </c>
      <c r="H1601" t="s">
        <v>31</v>
      </c>
      <c r="I1601">
        <v>125</v>
      </c>
      <c r="J1601">
        <v>124</v>
      </c>
      <c r="L1601" t="s">
        <v>12</v>
      </c>
      <c r="M1601" t="b">
        <v>0</v>
      </c>
      <c r="O1601" s="1">
        <v>46195.525370370371</v>
      </c>
    </row>
    <row r="1602" spans="1:15" x14ac:dyDescent="0.25">
      <c r="A1602">
        <v>236421985</v>
      </c>
      <c r="B1602" t="s">
        <v>919</v>
      </c>
      <c r="G1602">
        <v>11</v>
      </c>
      <c r="H1602" t="s">
        <v>33</v>
      </c>
      <c r="I1602">
        <v>62.5</v>
      </c>
      <c r="J1602">
        <v>62.4</v>
      </c>
      <c r="L1602" t="s">
        <v>12</v>
      </c>
      <c r="M1602" t="b">
        <v>0</v>
      </c>
      <c r="O1602" s="1">
        <v>46195.525370370371</v>
      </c>
    </row>
    <row r="1603" spans="1:15" x14ac:dyDescent="0.25">
      <c r="A1603">
        <v>-1480753931</v>
      </c>
      <c r="B1603" t="s">
        <v>921</v>
      </c>
      <c r="C1603" t="s">
        <v>525</v>
      </c>
      <c r="D1603" t="s">
        <v>526</v>
      </c>
      <c r="E1603" t="s">
        <v>336</v>
      </c>
      <c r="F1603">
        <v>50</v>
      </c>
      <c r="K1603" s="1">
        <v>46195.561631944445</v>
      </c>
      <c r="M1603" t="b">
        <v>0</v>
      </c>
      <c r="O1603" s="1">
        <v>46195.561631944445</v>
      </c>
    </row>
    <row r="1604" spans="1:15" x14ac:dyDescent="0.25">
      <c r="A1604">
        <v>-288156398</v>
      </c>
      <c r="B1604" t="s">
        <v>921</v>
      </c>
      <c r="G1604">
        <v>41</v>
      </c>
      <c r="H1604" t="s">
        <v>29</v>
      </c>
      <c r="I1604">
        <v>1335</v>
      </c>
      <c r="J1604">
        <v>1335.1</v>
      </c>
      <c r="L1604" t="s">
        <v>12</v>
      </c>
      <c r="M1604" t="b">
        <v>0</v>
      </c>
      <c r="O1604" s="1">
        <v>46195.561631944445</v>
      </c>
    </row>
    <row r="1605" spans="1:15" x14ac:dyDescent="0.25">
      <c r="A1605">
        <v>176742443</v>
      </c>
      <c r="B1605" t="s">
        <v>921</v>
      </c>
      <c r="G1605">
        <v>4</v>
      </c>
      <c r="H1605" t="s">
        <v>27</v>
      </c>
      <c r="I1605">
        <v>400</v>
      </c>
      <c r="J1605">
        <v>401.4</v>
      </c>
      <c r="L1605" t="s">
        <v>12</v>
      </c>
      <c r="M1605" t="b">
        <v>0</v>
      </c>
      <c r="O1605" s="1">
        <v>46195.561631944445</v>
      </c>
    </row>
    <row r="1606" spans="1:15" x14ac:dyDescent="0.25">
      <c r="A1606">
        <v>-1870752183</v>
      </c>
      <c r="B1606" t="s">
        <v>922</v>
      </c>
      <c r="C1606" t="s">
        <v>694</v>
      </c>
      <c r="D1606" t="s">
        <v>695</v>
      </c>
      <c r="E1606" t="s">
        <v>340</v>
      </c>
      <c r="F1606">
        <v>50</v>
      </c>
      <c r="K1606" s="1">
        <v>46195.613159722219</v>
      </c>
      <c r="M1606" t="b">
        <v>0</v>
      </c>
      <c r="O1606" s="1">
        <v>46195.613159722219</v>
      </c>
    </row>
    <row r="1607" spans="1:15" x14ac:dyDescent="0.25">
      <c r="A1607">
        <v>109445334</v>
      </c>
      <c r="B1607" t="s">
        <v>922</v>
      </c>
      <c r="G1607">
        <v>41</v>
      </c>
      <c r="H1607" t="s">
        <v>29</v>
      </c>
      <c r="I1607">
        <v>352</v>
      </c>
      <c r="J1607">
        <v>352.8</v>
      </c>
      <c r="L1607" t="s">
        <v>12</v>
      </c>
      <c r="M1607" t="b">
        <v>0</v>
      </c>
      <c r="O1607" s="1">
        <v>46195.613159722219</v>
      </c>
    </row>
    <row r="1608" spans="1:15" x14ac:dyDescent="0.25">
      <c r="A1608">
        <v>298740127</v>
      </c>
      <c r="B1608" t="s">
        <v>922</v>
      </c>
      <c r="G1608">
        <v>49</v>
      </c>
      <c r="H1608" t="s">
        <v>181</v>
      </c>
      <c r="I1608">
        <v>23.9</v>
      </c>
      <c r="J1608">
        <v>24.7</v>
      </c>
      <c r="L1608" t="s">
        <v>15</v>
      </c>
      <c r="M1608" t="b">
        <v>0</v>
      </c>
      <c r="O1608" s="1">
        <v>46195.613159722219</v>
      </c>
    </row>
    <row r="1609" spans="1:15" x14ac:dyDescent="0.25">
      <c r="A1609">
        <v>552430324</v>
      </c>
      <c r="B1609" t="s">
        <v>922</v>
      </c>
      <c r="G1609">
        <v>51</v>
      </c>
      <c r="H1609" t="s">
        <v>137</v>
      </c>
      <c r="I1609">
        <v>75.5</v>
      </c>
      <c r="J1609">
        <v>74.900000000000006</v>
      </c>
      <c r="L1609" t="s">
        <v>12</v>
      </c>
      <c r="M1609" t="b">
        <v>0</v>
      </c>
      <c r="O1609" s="1">
        <v>46195.613159722219</v>
      </c>
    </row>
    <row r="1610" spans="1:15" x14ac:dyDescent="0.25">
      <c r="A1610">
        <v>-1377536703</v>
      </c>
      <c r="B1610" t="s">
        <v>923</v>
      </c>
      <c r="C1610" t="s">
        <v>924</v>
      </c>
      <c r="D1610" t="s">
        <v>497</v>
      </c>
      <c r="E1610" t="s">
        <v>340</v>
      </c>
      <c r="F1610">
        <v>250</v>
      </c>
      <c r="K1610" s="1">
        <v>46195.648657407408</v>
      </c>
      <c r="M1610" t="b">
        <v>0</v>
      </c>
      <c r="O1610" s="1">
        <v>46195.648657407408</v>
      </c>
    </row>
    <row r="1611" spans="1:15" x14ac:dyDescent="0.25">
      <c r="A1611">
        <v>-1648295314</v>
      </c>
      <c r="B1611" t="s">
        <v>923</v>
      </c>
      <c r="G1611">
        <v>41</v>
      </c>
      <c r="H1611" t="s">
        <v>29</v>
      </c>
      <c r="I1611">
        <v>2125</v>
      </c>
      <c r="J1611">
        <v>2141.6</v>
      </c>
      <c r="L1611" t="s">
        <v>12</v>
      </c>
      <c r="M1611" t="b">
        <v>0</v>
      </c>
      <c r="O1611" s="1">
        <v>46195.648657407408</v>
      </c>
    </row>
    <row r="1612" spans="1:15" x14ac:dyDescent="0.25">
      <c r="A1612">
        <v>412893527</v>
      </c>
      <c r="B1612" t="s">
        <v>923</v>
      </c>
      <c r="G1612">
        <v>35</v>
      </c>
      <c r="H1612" t="s">
        <v>36</v>
      </c>
      <c r="I1612">
        <v>292.5</v>
      </c>
      <c r="J1612">
        <v>292.10000000000002</v>
      </c>
      <c r="L1612" t="s">
        <v>12</v>
      </c>
      <c r="M1612" t="b">
        <v>0</v>
      </c>
      <c r="O1612" s="1">
        <v>46195.648657407408</v>
      </c>
    </row>
    <row r="1613" spans="1:15" x14ac:dyDescent="0.25">
      <c r="A1613">
        <v>-1729386932</v>
      </c>
      <c r="B1613" t="s">
        <v>923</v>
      </c>
      <c r="G1613">
        <v>16</v>
      </c>
      <c r="H1613" t="s">
        <v>13</v>
      </c>
      <c r="I1613">
        <v>575</v>
      </c>
      <c r="J1613">
        <v>576.79999999999995</v>
      </c>
      <c r="L1613" t="s">
        <v>12</v>
      </c>
      <c r="M1613" t="b">
        <v>0</v>
      </c>
      <c r="O1613" s="1">
        <v>46195.648657407408</v>
      </c>
    </row>
    <row r="1614" spans="1:15" x14ac:dyDescent="0.25">
      <c r="A1614">
        <v>-2032399502</v>
      </c>
      <c r="B1614" t="s">
        <v>925</v>
      </c>
      <c r="C1614" t="s">
        <v>466</v>
      </c>
      <c r="D1614" t="s">
        <v>467</v>
      </c>
      <c r="E1614" t="s">
        <v>336</v>
      </c>
      <c r="F1614">
        <v>50</v>
      </c>
      <c r="K1614" s="1">
        <v>46195.783391203702</v>
      </c>
      <c r="M1614" t="b">
        <v>0</v>
      </c>
      <c r="O1614" s="1">
        <v>46195.783391203702</v>
      </c>
    </row>
    <row r="1615" spans="1:15" x14ac:dyDescent="0.25">
      <c r="A1615">
        <v>-1988727029</v>
      </c>
      <c r="B1615" t="s">
        <v>925</v>
      </c>
      <c r="G1615">
        <v>35</v>
      </c>
      <c r="H1615" t="s">
        <v>36</v>
      </c>
      <c r="I1615">
        <v>27.5</v>
      </c>
      <c r="J1615">
        <v>27.7</v>
      </c>
      <c r="L1615" t="s">
        <v>12</v>
      </c>
      <c r="M1615" t="b">
        <v>0</v>
      </c>
      <c r="O1615" s="1">
        <v>46195.783391203702</v>
      </c>
    </row>
    <row r="1616" spans="1:15" x14ac:dyDescent="0.25">
      <c r="A1616">
        <v>1565878000</v>
      </c>
      <c r="B1616" t="s">
        <v>925</v>
      </c>
      <c r="G1616">
        <v>17</v>
      </c>
      <c r="H1616" t="s">
        <v>134</v>
      </c>
      <c r="I1616">
        <v>76</v>
      </c>
      <c r="J1616">
        <v>77.2</v>
      </c>
      <c r="L1616" t="s">
        <v>15</v>
      </c>
      <c r="M1616" t="b">
        <v>0</v>
      </c>
      <c r="O1616" s="1">
        <v>46195.783391203702</v>
      </c>
    </row>
    <row r="1617" spans="1:15" x14ac:dyDescent="0.25">
      <c r="A1617">
        <v>780056625</v>
      </c>
      <c r="B1617" t="s">
        <v>925</v>
      </c>
      <c r="G1617">
        <v>57</v>
      </c>
      <c r="H1617" t="s">
        <v>17</v>
      </c>
      <c r="I1617">
        <v>121</v>
      </c>
      <c r="J1617">
        <v>121.5</v>
      </c>
      <c r="L1617" t="s">
        <v>12</v>
      </c>
      <c r="M1617" t="b">
        <v>0</v>
      </c>
      <c r="O1617" s="1">
        <v>46195.783391203702</v>
      </c>
    </row>
    <row r="1618" spans="1:15" x14ac:dyDescent="0.25">
      <c r="A1618">
        <v>-587045218</v>
      </c>
      <c r="B1618" t="s">
        <v>925</v>
      </c>
      <c r="G1618">
        <v>41</v>
      </c>
      <c r="H1618" t="s">
        <v>29</v>
      </c>
      <c r="I1618">
        <v>25.5</v>
      </c>
      <c r="J1618">
        <v>25.4</v>
      </c>
      <c r="L1618" t="s">
        <v>12</v>
      </c>
      <c r="M1618" t="b">
        <v>0</v>
      </c>
      <c r="O1618" s="1">
        <v>46195.783391203702</v>
      </c>
    </row>
    <row r="1619" spans="1:15" x14ac:dyDescent="0.25">
      <c r="A1619">
        <v>591302502</v>
      </c>
      <c r="B1619" t="s">
        <v>926</v>
      </c>
      <c r="C1619" t="s">
        <v>338</v>
      </c>
      <c r="D1619" t="s">
        <v>920</v>
      </c>
      <c r="E1619" t="s">
        <v>340</v>
      </c>
      <c r="F1619">
        <v>250</v>
      </c>
      <c r="K1619" s="1">
        <v>46195.84679398148</v>
      </c>
      <c r="M1619" t="b">
        <v>0</v>
      </c>
      <c r="O1619" s="1">
        <v>46195.84679398148</v>
      </c>
    </row>
    <row r="1620" spans="1:15" x14ac:dyDescent="0.25">
      <c r="A1620">
        <v>-1034626833</v>
      </c>
      <c r="B1620" t="s">
        <v>926</v>
      </c>
      <c r="G1620">
        <v>41</v>
      </c>
      <c r="H1620" t="s">
        <v>29</v>
      </c>
      <c r="I1620">
        <v>4000</v>
      </c>
      <c r="J1620">
        <v>4028.3</v>
      </c>
      <c r="L1620" t="s">
        <v>12</v>
      </c>
      <c r="M1620" t="b">
        <v>0</v>
      </c>
      <c r="O1620" s="1">
        <v>46195.84679398148</v>
      </c>
    </row>
    <row r="1621" spans="1:15" x14ac:dyDescent="0.25">
      <c r="A1621">
        <v>881908740</v>
      </c>
      <c r="B1621" t="s">
        <v>926</v>
      </c>
      <c r="G1621">
        <v>59</v>
      </c>
      <c r="H1621" t="s">
        <v>31</v>
      </c>
      <c r="I1621">
        <v>125</v>
      </c>
      <c r="J1621">
        <v>126</v>
      </c>
      <c r="L1621" t="s">
        <v>12</v>
      </c>
      <c r="M1621" t="b">
        <v>0</v>
      </c>
      <c r="O1621" s="1">
        <v>46195.84679398148</v>
      </c>
    </row>
    <row r="1622" spans="1:15" x14ac:dyDescent="0.25">
      <c r="A1622">
        <v>1344423093</v>
      </c>
      <c r="B1622" t="s">
        <v>926</v>
      </c>
      <c r="G1622">
        <v>11</v>
      </c>
      <c r="H1622" t="s">
        <v>33</v>
      </c>
      <c r="I1622">
        <v>62.5</v>
      </c>
      <c r="J1622">
        <v>63.1</v>
      </c>
      <c r="L1622" t="s">
        <v>12</v>
      </c>
      <c r="M1622" t="b">
        <v>0</v>
      </c>
      <c r="O1622" s="1">
        <v>46195.84679398148</v>
      </c>
    </row>
    <row r="1623" spans="1:15" x14ac:dyDescent="0.25">
      <c r="A1623">
        <v>2010501649</v>
      </c>
      <c r="B1623" t="s">
        <v>927</v>
      </c>
      <c r="C1623" t="s">
        <v>424</v>
      </c>
      <c r="D1623" t="s">
        <v>685</v>
      </c>
      <c r="E1623" t="s">
        <v>336</v>
      </c>
      <c r="F1623">
        <v>450</v>
      </c>
      <c r="K1623" s="1">
        <v>46195.871516203704</v>
      </c>
      <c r="M1623" t="b">
        <v>0</v>
      </c>
      <c r="O1623" s="1">
        <v>46195.871516203704</v>
      </c>
    </row>
    <row r="1624" spans="1:15" x14ac:dyDescent="0.25">
      <c r="A1624">
        <v>445723390</v>
      </c>
      <c r="B1624" t="s">
        <v>927</v>
      </c>
      <c r="G1624">
        <v>41</v>
      </c>
      <c r="H1624" t="s">
        <v>29</v>
      </c>
      <c r="I1624">
        <v>6525</v>
      </c>
      <c r="J1624">
        <v>6537.1</v>
      </c>
      <c r="L1624" t="s">
        <v>12</v>
      </c>
      <c r="M1624" t="b">
        <v>0</v>
      </c>
      <c r="O1624" s="1">
        <v>46195.871516203704</v>
      </c>
    </row>
    <row r="1625" spans="1:15" x14ac:dyDescent="0.25">
      <c r="A1625">
        <v>1758866087</v>
      </c>
      <c r="B1625" t="s">
        <v>927</v>
      </c>
      <c r="G1625">
        <v>66</v>
      </c>
      <c r="H1625" t="s">
        <v>200</v>
      </c>
      <c r="I1625">
        <v>1350</v>
      </c>
      <c r="J1625">
        <v>1352.2</v>
      </c>
      <c r="L1625" t="s">
        <v>12</v>
      </c>
      <c r="M1625" t="b">
        <v>0</v>
      </c>
      <c r="O1625" s="1">
        <v>46195.871516203704</v>
      </c>
    </row>
    <row r="1626" spans="1:15" x14ac:dyDescent="0.25">
      <c r="A1626">
        <v>2125957468</v>
      </c>
      <c r="B1626" t="s">
        <v>927</v>
      </c>
      <c r="G1626">
        <v>16</v>
      </c>
      <c r="H1626" t="s">
        <v>13</v>
      </c>
      <c r="I1626">
        <v>585</v>
      </c>
      <c r="J1626">
        <v>586.29999999999995</v>
      </c>
      <c r="L1626" t="s">
        <v>12</v>
      </c>
      <c r="M1626" t="b">
        <v>0</v>
      </c>
      <c r="O1626" s="1">
        <v>46195.871516203704</v>
      </c>
    </row>
    <row r="1627" spans="1:15" x14ac:dyDescent="0.25">
      <c r="A1627">
        <v>-1230254803</v>
      </c>
      <c r="B1627" t="s">
        <v>928</v>
      </c>
      <c r="C1627" t="s">
        <v>466</v>
      </c>
      <c r="D1627" t="s">
        <v>514</v>
      </c>
      <c r="E1627" t="s">
        <v>336</v>
      </c>
      <c r="F1627">
        <v>250</v>
      </c>
      <c r="K1627" s="1">
        <v>46195.8749537037</v>
      </c>
      <c r="M1627" t="b">
        <v>0</v>
      </c>
      <c r="O1627" s="1">
        <v>46195.8749537037</v>
      </c>
    </row>
    <row r="1628" spans="1:15" x14ac:dyDescent="0.25">
      <c r="A1628">
        <v>-1597407510</v>
      </c>
      <c r="B1628" t="s">
        <v>928</v>
      </c>
      <c r="G1628">
        <v>69</v>
      </c>
      <c r="H1628" t="s">
        <v>174</v>
      </c>
      <c r="I1628">
        <v>50</v>
      </c>
      <c r="J1628">
        <v>51</v>
      </c>
      <c r="L1628" t="s">
        <v>15</v>
      </c>
      <c r="M1628" t="b">
        <v>0</v>
      </c>
      <c r="O1628" s="1">
        <v>46195.8749537037</v>
      </c>
    </row>
    <row r="1629" spans="1:15" x14ac:dyDescent="0.25">
      <c r="A1629">
        <v>-202274013</v>
      </c>
      <c r="B1629" t="s">
        <v>928</v>
      </c>
      <c r="G1629">
        <v>26</v>
      </c>
      <c r="H1629" t="s">
        <v>186</v>
      </c>
      <c r="I1629">
        <v>240</v>
      </c>
      <c r="J1629">
        <v>240.4</v>
      </c>
      <c r="L1629" t="s">
        <v>12</v>
      </c>
      <c r="M1629" t="b">
        <v>0</v>
      </c>
      <c r="O1629" s="1">
        <v>46195.8749537037</v>
      </c>
    </row>
    <row r="1630" spans="1:15" x14ac:dyDescent="0.25">
      <c r="A1630">
        <v>1043785512</v>
      </c>
      <c r="B1630" t="s">
        <v>928</v>
      </c>
      <c r="G1630">
        <v>57</v>
      </c>
      <c r="H1630" t="s">
        <v>17</v>
      </c>
      <c r="I1630">
        <v>575</v>
      </c>
      <c r="J1630">
        <v>576.79999999999995</v>
      </c>
      <c r="L1630" t="s">
        <v>12</v>
      </c>
      <c r="M1630" t="b">
        <v>0</v>
      </c>
      <c r="O1630" s="1">
        <v>46195.8749537037</v>
      </c>
    </row>
    <row r="1631" spans="1:15" x14ac:dyDescent="0.25">
      <c r="A1631">
        <v>1163170313</v>
      </c>
      <c r="B1631" t="s">
        <v>928</v>
      </c>
      <c r="G1631">
        <v>41</v>
      </c>
      <c r="H1631" t="s">
        <v>29</v>
      </c>
      <c r="I1631">
        <v>600</v>
      </c>
      <c r="J1631">
        <v>601.4</v>
      </c>
      <c r="L1631" t="s">
        <v>12</v>
      </c>
      <c r="M1631" t="b">
        <v>0</v>
      </c>
      <c r="O1631" s="1">
        <v>46195.8749537037</v>
      </c>
    </row>
    <row r="1632" spans="1:15" x14ac:dyDescent="0.25">
      <c r="A1632">
        <v>1465604204</v>
      </c>
      <c r="B1632" t="s">
        <v>929</v>
      </c>
      <c r="C1632" t="s">
        <v>694</v>
      </c>
      <c r="D1632" t="s">
        <v>695</v>
      </c>
      <c r="E1632" t="s">
        <v>340</v>
      </c>
      <c r="F1632">
        <v>50</v>
      </c>
      <c r="K1632" s="1">
        <v>46195.944305555553</v>
      </c>
      <c r="M1632" t="b">
        <v>0</v>
      </c>
      <c r="O1632" s="1">
        <v>46195.944305555553</v>
      </c>
    </row>
    <row r="1633" spans="1:15" x14ac:dyDescent="0.25">
      <c r="A1633">
        <v>1803522813</v>
      </c>
      <c r="B1633" t="s">
        <v>929</v>
      </c>
      <c r="G1633">
        <v>41</v>
      </c>
      <c r="H1633" t="s">
        <v>29</v>
      </c>
      <c r="I1633">
        <v>352</v>
      </c>
      <c r="L1633" t="s">
        <v>15</v>
      </c>
      <c r="M1633" t="b">
        <v>0</v>
      </c>
      <c r="O1633" s="1">
        <v>46195.944305555553</v>
      </c>
    </row>
    <row r="1634" spans="1:15" x14ac:dyDescent="0.25">
      <c r="A1634">
        <v>297542778</v>
      </c>
      <c r="B1634" t="s">
        <v>929</v>
      </c>
      <c r="G1634">
        <v>49</v>
      </c>
      <c r="H1634" t="s">
        <v>181</v>
      </c>
      <c r="I1634">
        <v>23.9</v>
      </c>
      <c r="L1634" t="s">
        <v>15</v>
      </c>
      <c r="M1634" t="b">
        <v>0</v>
      </c>
      <c r="O1634" s="1">
        <v>46195.944305555553</v>
      </c>
    </row>
    <row r="1635" spans="1:15" x14ac:dyDescent="0.25">
      <c r="A1635">
        <v>1666712947</v>
      </c>
      <c r="B1635" t="s">
        <v>929</v>
      </c>
      <c r="G1635">
        <v>51</v>
      </c>
      <c r="H1635" t="s">
        <v>137</v>
      </c>
      <c r="I1635">
        <v>75.5</v>
      </c>
      <c r="L1635" t="s">
        <v>15</v>
      </c>
      <c r="M1635" t="b">
        <v>0</v>
      </c>
      <c r="O1635" s="1">
        <v>46195.944305555553</v>
      </c>
    </row>
    <row r="1636" spans="1:15" x14ac:dyDescent="0.25">
      <c r="A1636">
        <v>-383891656</v>
      </c>
      <c r="B1636" t="s">
        <v>930</v>
      </c>
      <c r="C1636" t="s">
        <v>694</v>
      </c>
      <c r="D1636" t="s">
        <v>695</v>
      </c>
      <c r="E1636" t="s">
        <v>340</v>
      </c>
      <c r="F1636">
        <v>50</v>
      </c>
      <c r="K1636" s="1">
        <v>46195.946423611109</v>
      </c>
      <c r="M1636" t="b">
        <v>0</v>
      </c>
      <c r="O1636" s="1">
        <v>46195.946423611109</v>
      </c>
    </row>
    <row r="1637" spans="1:15" x14ac:dyDescent="0.25">
      <c r="A1637">
        <v>-464595751</v>
      </c>
      <c r="B1637" t="s">
        <v>930</v>
      </c>
      <c r="G1637">
        <v>41</v>
      </c>
      <c r="H1637" t="s">
        <v>29</v>
      </c>
      <c r="I1637">
        <v>352</v>
      </c>
      <c r="J1637">
        <v>352.4</v>
      </c>
      <c r="L1637" t="s">
        <v>12</v>
      </c>
      <c r="M1637" t="b">
        <v>0</v>
      </c>
      <c r="O1637" s="1">
        <v>46195.946423611109</v>
      </c>
    </row>
    <row r="1638" spans="1:15" x14ac:dyDescent="0.25">
      <c r="A1638">
        <v>-1370071002</v>
      </c>
      <c r="B1638" t="s">
        <v>930</v>
      </c>
      <c r="G1638">
        <v>49</v>
      </c>
      <c r="H1638" t="s">
        <v>181</v>
      </c>
      <c r="I1638">
        <v>23.9</v>
      </c>
      <c r="J1638">
        <v>24</v>
      </c>
      <c r="L1638" t="s">
        <v>12</v>
      </c>
      <c r="M1638" t="b">
        <v>0</v>
      </c>
      <c r="O1638" s="1">
        <v>46195.946423611109</v>
      </c>
    </row>
    <row r="1639" spans="1:15" x14ac:dyDescent="0.25">
      <c r="A1639">
        <v>185666223</v>
      </c>
      <c r="B1639" t="s">
        <v>930</v>
      </c>
      <c r="G1639">
        <v>51</v>
      </c>
      <c r="H1639" t="s">
        <v>137</v>
      </c>
      <c r="I1639">
        <v>75.5</v>
      </c>
      <c r="J1639">
        <v>75.599999999999994</v>
      </c>
      <c r="L1639" t="s">
        <v>12</v>
      </c>
      <c r="M1639" t="b">
        <v>0</v>
      </c>
      <c r="O1639" s="1">
        <v>46195.946423611109</v>
      </c>
    </row>
    <row r="1640" spans="1:15" x14ac:dyDescent="0.25">
      <c r="A1640">
        <v>1722195728</v>
      </c>
      <c r="B1640" t="s">
        <v>931</v>
      </c>
      <c r="C1640" t="s">
        <v>636</v>
      </c>
      <c r="D1640" t="s">
        <v>369</v>
      </c>
      <c r="E1640" t="s">
        <v>313</v>
      </c>
      <c r="F1640">
        <v>250</v>
      </c>
      <c r="K1640" s="1">
        <v>46195.955821759257</v>
      </c>
      <c r="M1640" t="b">
        <v>0</v>
      </c>
      <c r="O1640" s="1">
        <v>46195.955821759257</v>
      </c>
    </row>
    <row r="1641" spans="1:15" x14ac:dyDescent="0.25">
      <c r="A1641">
        <v>842159569</v>
      </c>
      <c r="B1641" t="s">
        <v>931</v>
      </c>
      <c r="G1641">
        <v>41</v>
      </c>
      <c r="H1641" t="s">
        <v>29</v>
      </c>
      <c r="I1641">
        <v>2125</v>
      </c>
      <c r="J1641">
        <v>2136.1</v>
      </c>
      <c r="L1641" t="s">
        <v>12</v>
      </c>
      <c r="M1641" t="b">
        <v>0</v>
      </c>
      <c r="O1641" s="1">
        <v>46195.955821759257</v>
      </c>
    </row>
    <row r="1642" spans="1:15" x14ac:dyDescent="0.25">
      <c r="A1642">
        <v>724753342</v>
      </c>
      <c r="B1642" t="s">
        <v>931</v>
      </c>
      <c r="G1642">
        <v>52</v>
      </c>
      <c r="H1642" t="s">
        <v>128</v>
      </c>
      <c r="I1642">
        <v>555</v>
      </c>
      <c r="J1642">
        <v>552.4</v>
      </c>
      <c r="L1642" t="s">
        <v>12</v>
      </c>
      <c r="M1642" t="b">
        <v>0</v>
      </c>
      <c r="O1642" s="1">
        <v>46195.955821759257</v>
      </c>
    </row>
    <row r="1643" spans="1:15" x14ac:dyDescent="0.25">
      <c r="A1643">
        <v>48059495</v>
      </c>
      <c r="B1643" t="s">
        <v>931</v>
      </c>
      <c r="G1643">
        <v>47</v>
      </c>
      <c r="H1643" t="s">
        <v>21</v>
      </c>
      <c r="I1643">
        <v>547.5</v>
      </c>
      <c r="J1643">
        <v>549.1</v>
      </c>
      <c r="L1643" t="s">
        <v>12</v>
      </c>
      <c r="M1643" t="b">
        <v>0</v>
      </c>
      <c r="O1643" s="1">
        <v>46195.955821759257</v>
      </c>
    </row>
    <row r="1644" spans="1:15" x14ac:dyDescent="0.25">
      <c r="A1644">
        <v>-1317248996</v>
      </c>
      <c r="B1644" t="s">
        <v>931</v>
      </c>
      <c r="G1644">
        <v>26</v>
      </c>
      <c r="H1644" t="s">
        <v>186</v>
      </c>
      <c r="I1644">
        <v>1625</v>
      </c>
      <c r="J1644">
        <v>1627.7</v>
      </c>
      <c r="L1644" t="s">
        <v>12</v>
      </c>
      <c r="M1644" t="b">
        <v>0</v>
      </c>
      <c r="O1644" s="1">
        <v>46195.955821759257</v>
      </c>
    </row>
    <row r="1645" spans="1:15" x14ac:dyDescent="0.25">
      <c r="A1645">
        <v>1815481581</v>
      </c>
      <c r="B1645" t="s">
        <v>932</v>
      </c>
      <c r="C1645" t="s">
        <v>694</v>
      </c>
      <c r="D1645" t="s">
        <v>695</v>
      </c>
      <c r="E1645" t="s">
        <v>340</v>
      </c>
      <c r="F1645">
        <v>50</v>
      </c>
      <c r="K1645" s="1">
        <v>46195.997210648151</v>
      </c>
      <c r="M1645" t="b">
        <v>0</v>
      </c>
      <c r="O1645" s="1">
        <v>46195.997210648151</v>
      </c>
    </row>
    <row r="1646" spans="1:15" x14ac:dyDescent="0.25">
      <c r="A1646">
        <v>-279104598</v>
      </c>
      <c r="B1646" t="s">
        <v>932</v>
      </c>
      <c r="G1646">
        <v>41</v>
      </c>
      <c r="H1646" t="s">
        <v>29</v>
      </c>
      <c r="I1646">
        <v>352</v>
      </c>
      <c r="J1646">
        <v>352.4</v>
      </c>
      <c r="L1646" t="s">
        <v>12</v>
      </c>
      <c r="M1646" t="b">
        <v>0</v>
      </c>
      <c r="O1646" s="1">
        <v>46195.997210648151</v>
      </c>
    </row>
    <row r="1647" spans="1:15" x14ac:dyDescent="0.25">
      <c r="A1647">
        <v>-397618973</v>
      </c>
      <c r="B1647" t="s">
        <v>932</v>
      </c>
      <c r="G1647">
        <v>49</v>
      </c>
      <c r="H1647" t="s">
        <v>181</v>
      </c>
      <c r="I1647">
        <v>23.9</v>
      </c>
      <c r="J1647">
        <v>23.9</v>
      </c>
      <c r="L1647" t="s">
        <v>12</v>
      </c>
      <c r="M1647" t="b">
        <v>0</v>
      </c>
      <c r="O1647" s="1">
        <v>46195.997210648151</v>
      </c>
    </row>
    <row r="1648" spans="1:15" x14ac:dyDescent="0.25">
      <c r="A1648">
        <v>-487806488</v>
      </c>
      <c r="B1648" t="s">
        <v>932</v>
      </c>
      <c r="G1648">
        <v>51</v>
      </c>
      <c r="H1648" t="s">
        <v>137</v>
      </c>
      <c r="I1648">
        <v>75.5</v>
      </c>
      <c r="J1648">
        <v>75.400000000000006</v>
      </c>
      <c r="L1648" t="s">
        <v>12</v>
      </c>
      <c r="M1648" t="b">
        <v>0</v>
      </c>
      <c r="O1648" s="1">
        <v>46195.997210648151</v>
      </c>
    </row>
    <row r="1649" spans="1:15" x14ac:dyDescent="0.25">
      <c r="A1649">
        <v>1983925705</v>
      </c>
      <c r="B1649" t="s">
        <v>933</v>
      </c>
      <c r="C1649" t="s">
        <v>694</v>
      </c>
      <c r="D1649" t="s">
        <v>695</v>
      </c>
      <c r="E1649" t="s">
        <v>340</v>
      </c>
      <c r="F1649">
        <v>50</v>
      </c>
      <c r="K1649" s="1">
        <v>46196.002106481479</v>
      </c>
      <c r="M1649" t="b">
        <v>0</v>
      </c>
      <c r="O1649" s="1">
        <v>46196.002106481479</v>
      </c>
    </row>
    <row r="1650" spans="1:15" x14ac:dyDescent="0.25">
      <c r="A1650">
        <v>-730840490</v>
      </c>
      <c r="B1650" t="s">
        <v>933</v>
      </c>
      <c r="G1650">
        <v>41</v>
      </c>
      <c r="H1650" t="s">
        <v>29</v>
      </c>
      <c r="I1650">
        <v>352</v>
      </c>
      <c r="J1650">
        <v>351.9</v>
      </c>
      <c r="L1650" t="s">
        <v>12</v>
      </c>
      <c r="M1650" t="b">
        <v>0</v>
      </c>
      <c r="O1650" s="1">
        <v>46196.002106481479</v>
      </c>
    </row>
    <row r="1651" spans="1:15" x14ac:dyDescent="0.25">
      <c r="A1651">
        <v>-1697321697</v>
      </c>
      <c r="B1651" t="s">
        <v>933</v>
      </c>
      <c r="G1651">
        <v>49</v>
      </c>
      <c r="H1651" t="s">
        <v>181</v>
      </c>
      <c r="I1651">
        <v>23.9</v>
      </c>
      <c r="J1651">
        <v>23.8</v>
      </c>
      <c r="L1651" t="s">
        <v>12</v>
      </c>
      <c r="M1651" t="b">
        <v>0</v>
      </c>
      <c r="O1651" s="1">
        <v>46196.002106481479</v>
      </c>
    </row>
    <row r="1652" spans="1:15" x14ac:dyDescent="0.25">
      <c r="A1652">
        <v>1899464820</v>
      </c>
      <c r="B1652" t="s">
        <v>933</v>
      </c>
      <c r="G1652">
        <v>51</v>
      </c>
      <c r="H1652" t="s">
        <v>137</v>
      </c>
      <c r="I1652">
        <v>75.5</v>
      </c>
      <c r="J1652">
        <v>75.2</v>
      </c>
      <c r="L1652" t="s">
        <v>12</v>
      </c>
      <c r="M1652" t="b">
        <v>0</v>
      </c>
      <c r="O1652" s="1">
        <v>46196.002106481479</v>
      </c>
    </row>
    <row r="1653" spans="1:15" x14ac:dyDescent="0.25">
      <c r="A1653">
        <v>-1324658554</v>
      </c>
      <c r="B1653" t="s">
        <v>934</v>
      </c>
      <c r="C1653" t="s">
        <v>680</v>
      </c>
      <c r="D1653" t="s">
        <v>497</v>
      </c>
      <c r="E1653" t="s">
        <v>313</v>
      </c>
      <c r="F1653">
        <v>120</v>
      </c>
      <c r="K1653" s="1">
        <v>46196.074340277781</v>
      </c>
      <c r="M1653" t="b">
        <v>0</v>
      </c>
      <c r="O1653" s="1">
        <v>46196.074340277781</v>
      </c>
    </row>
    <row r="1654" spans="1:15" x14ac:dyDescent="0.25">
      <c r="A1654">
        <v>1289063311</v>
      </c>
      <c r="B1654" t="s">
        <v>934</v>
      </c>
      <c r="G1654">
        <v>41</v>
      </c>
      <c r="H1654" t="s">
        <v>29</v>
      </c>
      <c r="I1654">
        <v>600</v>
      </c>
      <c r="J1654">
        <v>603.70000000000005</v>
      </c>
      <c r="L1654" t="s">
        <v>12</v>
      </c>
      <c r="M1654" t="b">
        <v>0</v>
      </c>
      <c r="O1654" s="1">
        <v>46196.074340277781</v>
      </c>
    </row>
    <row r="1655" spans="1:15" x14ac:dyDescent="0.25">
      <c r="A1655">
        <v>-1064425394</v>
      </c>
      <c r="B1655" t="s">
        <v>935</v>
      </c>
      <c r="C1655" t="s">
        <v>680</v>
      </c>
      <c r="D1655" t="s">
        <v>497</v>
      </c>
      <c r="E1655" t="s">
        <v>364</v>
      </c>
      <c r="F1655">
        <v>120</v>
      </c>
      <c r="K1655" s="1">
        <v>46196.153101851851</v>
      </c>
      <c r="M1655" t="b">
        <v>0</v>
      </c>
      <c r="O1655" s="1">
        <v>46196.153101851851</v>
      </c>
    </row>
    <row r="1656" spans="1:15" x14ac:dyDescent="0.25">
      <c r="A1656">
        <v>-1632425545</v>
      </c>
      <c r="B1656" t="s">
        <v>935</v>
      </c>
      <c r="G1656">
        <v>41</v>
      </c>
      <c r="H1656" t="s">
        <v>29</v>
      </c>
      <c r="I1656">
        <v>600</v>
      </c>
      <c r="J1656">
        <v>601.29999999999995</v>
      </c>
      <c r="L1656" t="s">
        <v>12</v>
      </c>
      <c r="M1656" t="b">
        <v>0</v>
      </c>
      <c r="O1656" s="1">
        <v>46196.153101851851</v>
      </c>
    </row>
    <row r="1657" spans="1:15" x14ac:dyDescent="0.25">
      <c r="A1657">
        <v>982882808</v>
      </c>
      <c r="B1657" t="s">
        <v>936</v>
      </c>
      <c r="C1657" t="s">
        <v>937</v>
      </c>
      <c r="D1657" t="s">
        <v>938</v>
      </c>
      <c r="E1657" t="s">
        <v>336</v>
      </c>
      <c r="F1657">
        <v>50</v>
      </c>
      <c r="K1657" s="1">
        <v>46196.159432870372</v>
      </c>
      <c r="M1657" t="b">
        <v>0</v>
      </c>
      <c r="O1657" s="1">
        <v>46196.159432870372</v>
      </c>
    </row>
    <row r="1658" spans="1:15" x14ac:dyDescent="0.25">
      <c r="A1658">
        <v>1520492697</v>
      </c>
      <c r="B1658" t="s">
        <v>936</v>
      </c>
      <c r="G1658">
        <v>54</v>
      </c>
      <c r="H1658" t="s">
        <v>162</v>
      </c>
      <c r="I1658">
        <v>10.5</v>
      </c>
      <c r="J1658">
        <v>5.4</v>
      </c>
      <c r="L1658" t="s">
        <v>15</v>
      </c>
      <c r="M1658" t="b">
        <v>0</v>
      </c>
      <c r="O1658" s="1">
        <v>46196.159432870372</v>
      </c>
    </row>
    <row r="1659" spans="1:15" x14ac:dyDescent="0.25">
      <c r="A1659">
        <v>1632694502</v>
      </c>
      <c r="B1659" t="s">
        <v>936</v>
      </c>
      <c r="G1659">
        <v>75</v>
      </c>
      <c r="H1659" t="s">
        <v>173</v>
      </c>
      <c r="I1659">
        <v>260</v>
      </c>
      <c r="J1659">
        <v>259.10000000000002</v>
      </c>
      <c r="L1659" t="s">
        <v>12</v>
      </c>
      <c r="M1659" t="b">
        <v>0</v>
      </c>
      <c r="O1659" s="1">
        <v>46196.159432870372</v>
      </c>
    </row>
    <row r="1660" spans="1:15" x14ac:dyDescent="0.25">
      <c r="A1660">
        <v>254344303</v>
      </c>
      <c r="B1660" t="s">
        <v>936</v>
      </c>
      <c r="G1660">
        <v>41</v>
      </c>
      <c r="H1660" t="s">
        <v>29</v>
      </c>
      <c r="I1660">
        <v>135</v>
      </c>
      <c r="J1660">
        <v>135</v>
      </c>
      <c r="L1660" t="s">
        <v>12</v>
      </c>
      <c r="M1660" t="b">
        <v>0</v>
      </c>
      <c r="O1660" s="1">
        <v>46196.159432870372</v>
      </c>
    </row>
    <row r="1661" spans="1:15" x14ac:dyDescent="0.25">
      <c r="A1661">
        <v>-1379919484</v>
      </c>
      <c r="B1661" t="s">
        <v>936</v>
      </c>
      <c r="G1661">
        <v>44</v>
      </c>
      <c r="H1661" t="s">
        <v>16</v>
      </c>
      <c r="I1661">
        <v>21</v>
      </c>
      <c r="J1661">
        <v>21.3</v>
      </c>
      <c r="L1661" t="s">
        <v>15</v>
      </c>
      <c r="M1661" t="b">
        <v>0</v>
      </c>
      <c r="O1661" s="1">
        <v>46196.159432870372</v>
      </c>
    </row>
    <row r="1662" spans="1:15" x14ac:dyDescent="0.25">
      <c r="A1662">
        <v>1133427340</v>
      </c>
      <c r="B1662" t="s">
        <v>939</v>
      </c>
      <c r="C1662" t="s">
        <v>718</v>
      </c>
      <c r="D1662" t="s">
        <v>719</v>
      </c>
      <c r="E1662" t="s">
        <v>340</v>
      </c>
      <c r="F1662">
        <v>450</v>
      </c>
      <c r="K1662" s="1">
        <v>46196.270891203705</v>
      </c>
      <c r="M1662" t="b">
        <v>0</v>
      </c>
      <c r="O1662" s="1">
        <v>46196.270891203705</v>
      </c>
    </row>
    <row r="1663" spans="1:15" x14ac:dyDescent="0.25">
      <c r="A1663">
        <v>45126301</v>
      </c>
      <c r="B1663" t="s">
        <v>939</v>
      </c>
      <c r="G1663">
        <v>41</v>
      </c>
      <c r="H1663" t="s">
        <v>29</v>
      </c>
      <c r="I1663">
        <v>11250</v>
      </c>
      <c r="J1663">
        <v>11269.6</v>
      </c>
      <c r="L1663" t="s">
        <v>12</v>
      </c>
      <c r="M1663" t="b">
        <v>0</v>
      </c>
      <c r="O1663" s="1">
        <v>46196.270891203705</v>
      </c>
    </row>
    <row r="1664" spans="1:15" x14ac:dyDescent="0.25">
      <c r="A1664">
        <v>1929565082</v>
      </c>
      <c r="B1664" t="s">
        <v>939</v>
      </c>
      <c r="G1664">
        <v>16</v>
      </c>
      <c r="H1664" t="s">
        <v>13</v>
      </c>
      <c r="I1664">
        <v>225</v>
      </c>
      <c r="J1664">
        <v>226.4</v>
      </c>
      <c r="L1664" t="s">
        <v>12</v>
      </c>
      <c r="M1664" t="b">
        <v>0</v>
      </c>
      <c r="O1664" s="1">
        <v>46196.270891203705</v>
      </c>
    </row>
    <row r="1665" spans="1:15" x14ac:dyDescent="0.25">
      <c r="A1665">
        <v>639340051</v>
      </c>
      <c r="B1665" t="s">
        <v>939</v>
      </c>
      <c r="G1665">
        <v>68</v>
      </c>
      <c r="H1665" t="s">
        <v>14</v>
      </c>
      <c r="I1665">
        <v>45</v>
      </c>
      <c r="J1665">
        <v>45.8</v>
      </c>
      <c r="L1665" t="s">
        <v>15</v>
      </c>
      <c r="M1665" t="b">
        <v>0</v>
      </c>
      <c r="O1665" s="1">
        <v>46196.270891203705</v>
      </c>
    </row>
    <row r="1666" spans="1:15" x14ac:dyDescent="0.25">
      <c r="A1666">
        <v>-633533608</v>
      </c>
      <c r="B1666" t="s">
        <v>940</v>
      </c>
      <c r="C1666" t="s">
        <v>419</v>
      </c>
      <c r="D1666" t="s">
        <v>596</v>
      </c>
      <c r="E1666" t="s">
        <v>364</v>
      </c>
      <c r="F1666">
        <v>120</v>
      </c>
      <c r="K1666" s="1">
        <v>46196.274837962963</v>
      </c>
      <c r="M1666" t="b">
        <v>0</v>
      </c>
      <c r="O1666" s="1">
        <v>46196.274837962963</v>
      </c>
    </row>
    <row r="1667" spans="1:15" x14ac:dyDescent="0.25">
      <c r="A1667">
        <v>1391201913</v>
      </c>
      <c r="B1667" t="s">
        <v>940</v>
      </c>
      <c r="G1667">
        <v>41</v>
      </c>
      <c r="H1667" t="s">
        <v>29</v>
      </c>
      <c r="I1667">
        <v>1320</v>
      </c>
      <c r="J1667">
        <v>1320</v>
      </c>
      <c r="L1667" t="s">
        <v>12</v>
      </c>
      <c r="M1667" t="b">
        <v>0</v>
      </c>
      <c r="O1667" s="1">
        <v>46196.274837962963</v>
      </c>
    </row>
    <row r="1668" spans="1:15" x14ac:dyDescent="0.25">
      <c r="A1668">
        <v>-1447083706</v>
      </c>
      <c r="B1668" t="s">
        <v>940</v>
      </c>
      <c r="G1668">
        <v>44</v>
      </c>
      <c r="H1668" t="s">
        <v>16</v>
      </c>
      <c r="I1668">
        <v>13.32</v>
      </c>
      <c r="J1668">
        <v>14</v>
      </c>
      <c r="L1668" t="s">
        <v>15</v>
      </c>
      <c r="M1668" t="b">
        <v>0</v>
      </c>
      <c r="O1668" s="1">
        <v>46196.274837962963</v>
      </c>
    </row>
    <row r="1669" spans="1:15" x14ac:dyDescent="0.25">
      <c r="A1669">
        <v>516119887</v>
      </c>
      <c r="B1669" t="s">
        <v>940</v>
      </c>
      <c r="G1669">
        <v>35</v>
      </c>
      <c r="H1669" t="s">
        <v>36</v>
      </c>
      <c r="I1669">
        <v>120</v>
      </c>
      <c r="J1669">
        <v>121.5</v>
      </c>
      <c r="L1669" t="s">
        <v>15</v>
      </c>
      <c r="M1669" t="b">
        <v>0</v>
      </c>
      <c r="O1669" s="1">
        <v>46196.274837962963</v>
      </c>
    </row>
    <row r="1670" spans="1:15" x14ac:dyDescent="0.25">
      <c r="A1670">
        <v>727844882</v>
      </c>
      <c r="B1670" t="s">
        <v>941</v>
      </c>
      <c r="C1670" t="s">
        <v>419</v>
      </c>
      <c r="D1670" t="s">
        <v>596</v>
      </c>
      <c r="E1670" t="s">
        <v>364</v>
      </c>
      <c r="F1670">
        <v>120</v>
      </c>
      <c r="K1670" s="1">
        <v>46196.437222222223</v>
      </c>
      <c r="M1670" t="b">
        <v>0</v>
      </c>
      <c r="O1670" s="1">
        <v>46196.437222222223</v>
      </c>
    </row>
    <row r="1671" spans="1:15" x14ac:dyDescent="0.25">
      <c r="A1671">
        <v>-570714325</v>
      </c>
      <c r="B1671" t="s">
        <v>941</v>
      </c>
      <c r="G1671">
        <v>41</v>
      </c>
      <c r="H1671" t="s">
        <v>29</v>
      </c>
      <c r="I1671">
        <v>1320</v>
      </c>
      <c r="J1671">
        <v>1323.3</v>
      </c>
      <c r="L1671" t="s">
        <v>12</v>
      </c>
      <c r="M1671" t="b">
        <v>0</v>
      </c>
      <c r="O1671" s="1">
        <v>46196.437222222223</v>
      </c>
    </row>
    <row r="1672" spans="1:15" x14ac:dyDescent="0.25">
      <c r="A1672">
        <v>1120547984</v>
      </c>
      <c r="B1672" t="s">
        <v>941</v>
      </c>
      <c r="G1672">
        <v>44</v>
      </c>
      <c r="H1672" t="s">
        <v>16</v>
      </c>
      <c r="I1672">
        <v>13.32</v>
      </c>
      <c r="J1672">
        <v>13.5</v>
      </c>
      <c r="L1672" t="s">
        <v>15</v>
      </c>
      <c r="M1672" t="b">
        <v>0</v>
      </c>
      <c r="O1672" s="1">
        <v>46196.437222222223</v>
      </c>
    </row>
    <row r="1673" spans="1:15" x14ac:dyDescent="0.25">
      <c r="A1673">
        <v>-1127965359</v>
      </c>
      <c r="B1673" t="s">
        <v>941</v>
      </c>
      <c r="G1673">
        <v>35</v>
      </c>
      <c r="H1673" t="s">
        <v>36</v>
      </c>
      <c r="I1673">
        <v>120</v>
      </c>
      <c r="J1673">
        <v>120.4</v>
      </c>
      <c r="L1673" t="s">
        <v>12</v>
      </c>
      <c r="M1673" t="b">
        <v>0</v>
      </c>
      <c r="O1673" s="1">
        <v>46196.437222222223</v>
      </c>
    </row>
    <row r="1674" spans="1:15" x14ac:dyDescent="0.25">
      <c r="A1674">
        <v>-1598497494</v>
      </c>
      <c r="B1674" t="s">
        <v>942</v>
      </c>
      <c r="C1674" t="s">
        <v>810</v>
      </c>
      <c r="D1674" t="s">
        <v>482</v>
      </c>
      <c r="E1674" t="s">
        <v>340</v>
      </c>
      <c r="F1674">
        <v>450</v>
      </c>
      <c r="K1674" s="1">
        <v>46196.53974537037</v>
      </c>
      <c r="M1674" t="b">
        <v>0</v>
      </c>
      <c r="O1674" s="1">
        <v>46196.53974537037</v>
      </c>
    </row>
    <row r="1675" spans="1:15" x14ac:dyDescent="0.25">
      <c r="A1675">
        <v>1337105507</v>
      </c>
      <c r="B1675" t="s">
        <v>942</v>
      </c>
      <c r="G1675">
        <v>41</v>
      </c>
      <c r="H1675" t="s">
        <v>29</v>
      </c>
      <c r="I1675">
        <v>1620</v>
      </c>
      <c r="J1675">
        <v>1622.9</v>
      </c>
      <c r="L1675" t="s">
        <v>12</v>
      </c>
      <c r="M1675" t="b">
        <v>0</v>
      </c>
      <c r="O1675" s="1">
        <v>46196.53974537037</v>
      </c>
    </row>
    <row r="1676" spans="1:15" x14ac:dyDescent="0.25">
      <c r="A1676">
        <v>-458854552</v>
      </c>
      <c r="B1676" t="s">
        <v>942</v>
      </c>
      <c r="G1676">
        <v>35</v>
      </c>
      <c r="H1676" t="s">
        <v>36</v>
      </c>
      <c r="I1676">
        <v>517.5</v>
      </c>
      <c r="J1676">
        <v>517.20000000000005</v>
      </c>
      <c r="L1676" t="s">
        <v>12</v>
      </c>
      <c r="M1676" t="b">
        <v>0</v>
      </c>
      <c r="O1676" s="1">
        <v>46196.53974537037</v>
      </c>
    </row>
    <row r="1677" spans="1:15" x14ac:dyDescent="0.25">
      <c r="A1677">
        <v>-1957100215</v>
      </c>
      <c r="B1677" t="s">
        <v>942</v>
      </c>
      <c r="G1677">
        <v>44</v>
      </c>
      <c r="H1677" t="s">
        <v>16</v>
      </c>
      <c r="I1677">
        <v>112.5</v>
      </c>
      <c r="J1677">
        <v>112.5</v>
      </c>
      <c r="L1677" t="s">
        <v>12</v>
      </c>
      <c r="M1677" t="b">
        <v>0</v>
      </c>
      <c r="O1677" s="1">
        <v>46196.53974537037</v>
      </c>
    </row>
    <row r="1678" spans="1:15" x14ac:dyDescent="0.25">
      <c r="A1678">
        <v>296607899</v>
      </c>
      <c r="B1678" t="s">
        <v>943</v>
      </c>
      <c r="C1678" t="s">
        <v>694</v>
      </c>
      <c r="D1678" t="s">
        <v>695</v>
      </c>
      <c r="E1678" t="s">
        <v>313</v>
      </c>
      <c r="F1678">
        <v>250</v>
      </c>
      <c r="K1678" s="1">
        <v>46196.557592592595</v>
      </c>
      <c r="M1678" t="b">
        <v>0</v>
      </c>
      <c r="O1678" s="1">
        <v>46196.557592592595</v>
      </c>
    </row>
    <row r="1679" spans="1:15" x14ac:dyDescent="0.25">
      <c r="A1679">
        <v>-1290027712</v>
      </c>
      <c r="B1679" t="s">
        <v>943</v>
      </c>
      <c r="G1679">
        <v>41</v>
      </c>
      <c r="H1679" t="s">
        <v>29</v>
      </c>
      <c r="I1679">
        <v>1760</v>
      </c>
      <c r="J1679">
        <v>1760.6</v>
      </c>
      <c r="L1679" t="s">
        <v>12</v>
      </c>
      <c r="M1679" t="b">
        <v>0</v>
      </c>
      <c r="O1679" s="1">
        <v>46196.557592592595</v>
      </c>
    </row>
    <row r="1680" spans="1:15" x14ac:dyDescent="0.25">
      <c r="A1680">
        <v>2011677761</v>
      </c>
      <c r="B1680" t="s">
        <v>943</v>
      </c>
      <c r="G1680">
        <v>49</v>
      </c>
      <c r="H1680" t="s">
        <v>181</v>
      </c>
      <c r="I1680">
        <v>119.5</v>
      </c>
      <c r="J1680">
        <v>119.5</v>
      </c>
      <c r="L1680" t="s">
        <v>12</v>
      </c>
      <c r="M1680" t="b">
        <v>0</v>
      </c>
      <c r="O1680" s="1">
        <v>46196.557592592595</v>
      </c>
    </row>
    <row r="1681" spans="1:15" x14ac:dyDescent="0.25">
      <c r="A1681">
        <v>-649075346</v>
      </c>
      <c r="B1681" t="s">
        <v>943</v>
      </c>
      <c r="G1681">
        <v>51</v>
      </c>
      <c r="H1681" t="s">
        <v>137</v>
      </c>
      <c r="I1681">
        <v>377.5</v>
      </c>
      <c r="J1681">
        <v>378.2</v>
      </c>
      <c r="L1681" t="s">
        <v>12</v>
      </c>
      <c r="M1681" t="b">
        <v>0</v>
      </c>
      <c r="O1681" s="1">
        <v>46196.557592592595</v>
      </c>
    </row>
    <row r="1682" spans="1:15" x14ac:dyDescent="0.25">
      <c r="A1682">
        <v>-121125071</v>
      </c>
      <c r="B1682" t="s">
        <v>944</v>
      </c>
      <c r="C1682" t="s">
        <v>362</v>
      </c>
      <c r="D1682" t="s">
        <v>363</v>
      </c>
      <c r="E1682" t="s">
        <v>364</v>
      </c>
      <c r="F1682">
        <v>450</v>
      </c>
      <c r="K1682" s="1">
        <v>46196.64439814815</v>
      </c>
      <c r="M1682" t="b">
        <v>0</v>
      </c>
      <c r="O1682" s="1">
        <v>46196.64439814815</v>
      </c>
    </row>
    <row r="1683" spans="1:15" x14ac:dyDescent="0.25">
      <c r="A1683">
        <v>-816576098</v>
      </c>
      <c r="B1683" t="s">
        <v>944</v>
      </c>
      <c r="G1683">
        <v>41</v>
      </c>
      <c r="H1683" t="s">
        <v>29</v>
      </c>
      <c r="I1683">
        <v>6246</v>
      </c>
      <c r="J1683">
        <v>6253.8</v>
      </c>
      <c r="L1683" t="s">
        <v>12</v>
      </c>
      <c r="M1683" t="b">
        <v>0</v>
      </c>
      <c r="O1683" s="1">
        <v>46196.64439814815</v>
      </c>
    </row>
    <row r="1684" spans="1:15" x14ac:dyDescent="0.25">
      <c r="A1684">
        <v>-1008098105</v>
      </c>
      <c r="B1684" t="s">
        <v>944</v>
      </c>
      <c r="G1684">
        <v>35</v>
      </c>
      <c r="H1684" t="s">
        <v>36</v>
      </c>
      <c r="I1684">
        <v>180</v>
      </c>
      <c r="J1684">
        <v>180.5</v>
      </c>
      <c r="L1684" t="s">
        <v>12</v>
      </c>
      <c r="M1684" t="b">
        <v>0</v>
      </c>
      <c r="O1684" s="1">
        <v>46196.64439814815</v>
      </c>
    </row>
    <row r="1685" spans="1:15" x14ac:dyDescent="0.25">
      <c r="A1685">
        <v>-388185860</v>
      </c>
      <c r="B1685" t="s">
        <v>944</v>
      </c>
      <c r="G1685">
        <v>44</v>
      </c>
      <c r="H1685" t="s">
        <v>16</v>
      </c>
      <c r="I1685">
        <v>130.5</v>
      </c>
      <c r="J1685">
        <v>130.5</v>
      </c>
      <c r="L1685" t="s">
        <v>12</v>
      </c>
      <c r="M1685" t="b">
        <v>0</v>
      </c>
      <c r="O1685" s="1">
        <v>46196.64439814815</v>
      </c>
    </row>
    <row r="1686" spans="1:15" x14ac:dyDescent="0.25">
      <c r="A1686">
        <v>-1758440371</v>
      </c>
      <c r="B1686" t="s">
        <v>944</v>
      </c>
      <c r="G1686">
        <v>16</v>
      </c>
      <c r="H1686" t="s">
        <v>13</v>
      </c>
      <c r="I1686">
        <v>585</v>
      </c>
      <c r="J1686">
        <v>585.29999999999995</v>
      </c>
      <c r="L1686" t="s">
        <v>12</v>
      </c>
      <c r="M1686" t="b">
        <v>0</v>
      </c>
      <c r="O1686" s="1">
        <v>46196.64439814815</v>
      </c>
    </row>
    <row r="1687" spans="1:15" x14ac:dyDescent="0.25">
      <c r="A1687">
        <v>1367080842</v>
      </c>
      <c r="B1687" t="s">
        <v>945</v>
      </c>
      <c r="C1687" t="s">
        <v>718</v>
      </c>
      <c r="D1687" t="s">
        <v>719</v>
      </c>
      <c r="E1687" t="s">
        <v>340</v>
      </c>
      <c r="F1687">
        <v>250</v>
      </c>
      <c r="K1687" s="1">
        <v>46196.69835648148</v>
      </c>
      <c r="M1687" t="b">
        <v>0</v>
      </c>
      <c r="O1687" s="1">
        <v>46196.69835648148</v>
      </c>
    </row>
    <row r="1688" spans="1:15" x14ac:dyDescent="0.25">
      <c r="A1688">
        <v>1793189699</v>
      </c>
      <c r="B1688" t="s">
        <v>945</v>
      </c>
      <c r="G1688">
        <v>41</v>
      </c>
      <c r="H1688" t="s">
        <v>29</v>
      </c>
      <c r="I1688">
        <v>6250</v>
      </c>
      <c r="J1688">
        <v>6248.2</v>
      </c>
      <c r="L1688" t="s">
        <v>12</v>
      </c>
      <c r="M1688" t="b">
        <v>0</v>
      </c>
      <c r="O1688" s="1">
        <v>46196.69835648148</v>
      </c>
    </row>
    <row r="1689" spans="1:15" x14ac:dyDescent="0.25">
      <c r="A1689">
        <v>-2126784312</v>
      </c>
      <c r="B1689" t="s">
        <v>945</v>
      </c>
      <c r="G1689">
        <v>16</v>
      </c>
      <c r="H1689" t="s">
        <v>13</v>
      </c>
      <c r="I1689">
        <v>125</v>
      </c>
      <c r="J1689">
        <v>125.4</v>
      </c>
      <c r="L1689" t="s">
        <v>12</v>
      </c>
      <c r="M1689" t="b">
        <v>0</v>
      </c>
      <c r="O1689" s="1">
        <v>46196.69835648148</v>
      </c>
    </row>
    <row r="1690" spans="1:15" x14ac:dyDescent="0.25">
      <c r="A1690">
        <v>-968307927</v>
      </c>
      <c r="B1690" t="s">
        <v>945</v>
      </c>
      <c r="G1690">
        <v>68</v>
      </c>
      <c r="H1690" t="s">
        <v>14</v>
      </c>
      <c r="I1690">
        <v>25</v>
      </c>
      <c r="J1690">
        <v>26.2</v>
      </c>
      <c r="L1690" t="s">
        <v>15</v>
      </c>
      <c r="M1690" t="b">
        <v>0</v>
      </c>
      <c r="O1690" s="1">
        <v>46196.69835648148</v>
      </c>
    </row>
    <row r="1691" spans="1:15" x14ac:dyDescent="0.25">
      <c r="A1691">
        <v>-23950282</v>
      </c>
      <c r="B1691" t="s">
        <v>946</v>
      </c>
      <c r="C1691" t="s">
        <v>402</v>
      </c>
      <c r="D1691" t="s">
        <v>403</v>
      </c>
      <c r="E1691" t="s">
        <v>364</v>
      </c>
      <c r="F1691">
        <v>50</v>
      </c>
      <c r="K1691" s="1">
        <v>46196.775856481479</v>
      </c>
      <c r="M1691" t="b">
        <v>0</v>
      </c>
      <c r="O1691" s="1">
        <v>46196.775856481479</v>
      </c>
    </row>
    <row r="1692" spans="1:15" x14ac:dyDescent="0.25">
      <c r="A1692">
        <v>-381998721</v>
      </c>
      <c r="B1692" t="s">
        <v>946</v>
      </c>
      <c r="G1692">
        <v>41</v>
      </c>
      <c r="H1692" t="s">
        <v>29</v>
      </c>
      <c r="I1692">
        <v>240</v>
      </c>
      <c r="J1692">
        <v>240.4</v>
      </c>
      <c r="L1692" t="s">
        <v>12</v>
      </c>
      <c r="M1692" t="b">
        <v>0</v>
      </c>
      <c r="O1692" s="1">
        <v>46196.775856481479</v>
      </c>
    </row>
    <row r="1693" spans="1:15" x14ac:dyDescent="0.25">
      <c r="A1693">
        <v>1265526100</v>
      </c>
      <c r="B1693" t="s">
        <v>946</v>
      </c>
      <c r="G1693">
        <v>59</v>
      </c>
      <c r="H1693" t="s">
        <v>31</v>
      </c>
      <c r="I1693">
        <v>20</v>
      </c>
      <c r="J1693">
        <v>19.7</v>
      </c>
      <c r="L1693" t="s">
        <v>15</v>
      </c>
      <c r="M1693" t="b">
        <v>0</v>
      </c>
      <c r="O1693" s="1">
        <v>46196.775856481479</v>
      </c>
    </row>
    <row r="1694" spans="1:15" x14ac:dyDescent="0.25">
      <c r="A1694">
        <v>577849285</v>
      </c>
      <c r="B1694" t="s">
        <v>946</v>
      </c>
      <c r="G1694">
        <v>35</v>
      </c>
      <c r="H1694" t="s">
        <v>36</v>
      </c>
      <c r="I1694">
        <v>23</v>
      </c>
      <c r="J1694">
        <v>23.7</v>
      </c>
      <c r="L1694" t="s">
        <v>15</v>
      </c>
      <c r="M1694" t="b">
        <v>0</v>
      </c>
      <c r="O1694" s="1">
        <v>46196.775856481479</v>
      </c>
    </row>
    <row r="1695" spans="1:15" x14ac:dyDescent="0.25">
      <c r="A1695">
        <v>-1398498398</v>
      </c>
      <c r="B1695" t="s">
        <v>946</v>
      </c>
      <c r="G1695">
        <v>44</v>
      </c>
      <c r="H1695" t="s">
        <v>16</v>
      </c>
      <c r="I1695">
        <v>12.1</v>
      </c>
      <c r="J1695">
        <v>12</v>
      </c>
      <c r="L1695" t="s">
        <v>12</v>
      </c>
      <c r="M1695" t="b">
        <v>0</v>
      </c>
      <c r="O1695" s="1">
        <v>46196.775856481479</v>
      </c>
    </row>
    <row r="1696" spans="1:15" x14ac:dyDescent="0.25">
      <c r="A1696">
        <v>2122003104</v>
      </c>
      <c r="B1696" t="s">
        <v>947</v>
      </c>
      <c r="C1696" t="s">
        <v>376</v>
      </c>
      <c r="D1696" t="s">
        <v>377</v>
      </c>
      <c r="E1696" t="s">
        <v>340</v>
      </c>
      <c r="F1696">
        <v>450</v>
      </c>
      <c r="K1696" s="1">
        <v>46196.782893518517</v>
      </c>
      <c r="M1696" t="b">
        <v>0</v>
      </c>
      <c r="O1696" s="1">
        <v>46196.782893518517</v>
      </c>
    </row>
    <row r="1697" spans="1:15" x14ac:dyDescent="0.25">
      <c r="A1697">
        <v>1931716129</v>
      </c>
      <c r="B1697" t="s">
        <v>947</v>
      </c>
      <c r="G1697">
        <v>41</v>
      </c>
      <c r="H1697" t="s">
        <v>29</v>
      </c>
      <c r="I1697">
        <v>972</v>
      </c>
      <c r="J1697">
        <v>975.2</v>
      </c>
      <c r="L1697" t="s">
        <v>12</v>
      </c>
      <c r="M1697" t="b">
        <v>0</v>
      </c>
      <c r="O1697" s="1">
        <v>46196.782893518517</v>
      </c>
    </row>
    <row r="1698" spans="1:15" x14ac:dyDescent="0.25">
      <c r="A1698">
        <v>-406464050</v>
      </c>
      <c r="B1698" t="s">
        <v>947</v>
      </c>
      <c r="G1698">
        <v>58</v>
      </c>
      <c r="H1698" t="s">
        <v>32</v>
      </c>
      <c r="I1698">
        <v>1993.5</v>
      </c>
      <c r="J1698">
        <v>2004.2</v>
      </c>
      <c r="L1698" t="s">
        <v>12</v>
      </c>
      <c r="M1698" t="b">
        <v>0</v>
      </c>
      <c r="O1698" s="1">
        <v>46196.782893518517</v>
      </c>
    </row>
    <row r="1699" spans="1:15" x14ac:dyDescent="0.25">
      <c r="A1699">
        <v>1828085047</v>
      </c>
      <c r="B1699" t="s">
        <v>947</v>
      </c>
      <c r="G1699">
        <v>35</v>
      </c>
      <c r="H1699" t="s">
        <v>36</v>
      </c>
      <c r="I1699">
        <v>339.3</v>
      </c>
      <c r="J1699">
        <v>341.5</v>
      </c>
      <c r="L1699" t="s">
        <v>12</v>
      </c>
      <c r="M1699" t="b">
        <v>0</v>
      </c>
      <c r="O1699" s="1">
        <v>46196.782893518517</v>
      </c>
    </row>
    <row r="1700" spans="1:15" x14ac:dyDescent="0.25">
      <c r="A1700">
        <v>-103953236</v>
      </c>
      <c r="B1700" t="s">
        <v>947</v>
      </c>
      <c r="G1700">
        <v>16</v>
      </c>
      <c r="H1700" t="s">
        <v>13</v>
      </c>
      <c r="I1700">
        <v>137.69999999999999</v>
      </c>
      <c r="J1700">
        <v>138</v>
      </c>
      <c r="L1700" t="s">
        <v>12</v>
      </c>
      <c r="M1700" t="b">
        <v>0</v>
      </c>
      <c r="O1700" s="1">
        <v>46196.782893518517</v>
      </c>
    </row>
    <row r="1701" spans="1:15" x14ac:dyDescent="0.25">
      <c r="A1701">
        <v>-1643150787</v>
      </c>
      <c r="B1701" t="s">
        <v>948</v>
      </c>
      <c r="C1701" t="s">
        <v>518</v>
      </c>
      <c r="D1701" t="s">
        <v>223</v>
      </c>
      <c r="E1701" t="s">
        <v>313</v>
      </c>
      <c r="F1701">
        <v>250</v>
      </c>
      <c r="K1701" s="1">
        <v>46196.785787037035</v>
      </c>
      <c r="M1701" t="b">
        <v>0</v>
      </c>
      <c r="O1701" s="1">
        <v>46196.785787037035</v>
      </c>
    </row>
    <row r="1702" spans="1:15" x14ac:dyDescent="0.25">
      <c r="A1702">
        <v>-704859462</v>
      </c>
      <c r="B1702" t="s">
        <v>948</v>
      </c>
      <c r="G1702">
        <v>41</v>
      </c>
      <c r="H1702" t="s">
        <v>29</v>
      </c>
      <c r="I1702">
        <v>4500</v>
      </c>
      <c r="J1702">
        <v>4503</v>
      </c>
      <c r="L1702" t="s">
        <v>12</v>
      </c>
      <c r="M1702" t="b">
        <v>0</v>
      </c>
      <c r="O1702" s="1">
        <v>46196.785787037035</v>
      </c>
    </row>
    <row r="1703" spans="1:15" x14ac:dyDescent="0.25">
      <c r="A1703">
        <v>847152819</v>
      </c>
      <c r="B1703" t="s">
        <v>948</v>
      </c>
      <c r="G1703">
        <v>4</v>
      </c>
      <c r="H1703" t="s">
        <v>27</v>
      </c>
      <c r="I1703">
        <v>82</v>
      </c>
      <c r="J1703">
        <v>82.2</v>
      </c>
      <c r="L1703" t="s">
        <v>12</v>
      </c>
      <c r="M1703" t="b">
        <v>0</v>
      </c>
      <c r="O1703" s="1">
        <v>46196.785787037035</v>
      </c>
    </row>
    <row r="1704" spans="1:15" x14ac:dyDescent="0.25">
      <c r="A1704">
        <v>-482567259</v>
      </c>
      <c r="B1704" t="s">
        <v>949</v>
      </c>
      <c r="C1704" t="s">
        <v>402</v>
      </c>
      <c r="D1704" t="s">
        <v>403</v>
      </c>
      <c r="E1704" t="s">
        <v>364</v>
      </c>
      <c r="F1704">
        <v>50</v>
      </c>
      <c r="K1704" s="1">
        <v>46196.812557870369</v>
      </c>
      <c r="M1704" t="b">
        <v>0</v>
      </c>
      <c r="O1704" s="1">
        <v>46196.812557870369</v>
      </c>
    </row>
    <row r="1705" spans="1:15" x14ac:dyDescent="0.25">
      <c r="A1705">
        <v>-708994558</v>
      </c>
      <c r="B1705" t="s">
        <v>949</v>
      </c>
      <c r="G1705">
        <v>41</v>
      </c>
      <c r="H1705" t="s">
        <v>29</v>
      </c>
      <c r="I1705">
        <v>240</v>
      </c>
      <c r="J1705">
        <v>238.6</v>
      </c>
      <c r="L1705" t="s">
        <v>12</v>
      </c>
      <c r="M1705" t="b">
        <v>0</v>
      </c>
      <c r="O1705" s="1">
        <v>46196.812557870369</v>
      </c>
    </row>
    <row r="1706" spans="1:15" x14ac:dyDescent="0.25">
      <c r="A1706">
        <v>-516825509</v>
      </c>
      <c r="B1706" t="s">
        <v>949</v>
      </c>
      <c r="G1706">
        <v>59</v>
      </c>
      <c r="H1706" t="s">
        <v>31</v>
      </c>
      <c r="I1706">
        <v>20</v>
      </c>
      <c r="J1706">
        <v>20.6</v>
      </c>
      <c r="L1706" t="s">
        <v>15</v>
      </c>
      <c r="M1706" t="b">
        <v>0</v>
      </c>
      <c r="O1706" s="1">
        <v>46196.812557870369</v>
      </c>
    </row>
    <row r="1707" spans="1:15" x14ac:dyDescent="0.25">
      <c r="A1707">
        <v>1934219264</v>
      </c>
      <c r="B1707" t="s">
        <v>949</v>
      </c>
      <c r="G1707">
        <v>35</v>
      </c>
      <c r="H1707" t="s">
        <v>36</v>
      </c>
      <c r="I1707">
        <v>23</v>
      </c>
      <c r="J1707">
        <v>23.8</v>
      </c>
      <c r="L1707" t="s">
        <v>15</v>
      </c>
      <c r="M1707" t="b">
        <v>0</v>
      </c>
      <c r="O1707" s="1">
        <v>46196.812557870369</v>
      </c>
    </row>
    <row r="1708" spans="1:15" x14ac:dyDescent="0.25">
      <c r="A1708">
        <v>-1677002751</v>
      </c>
      <c r="B1708" t="s">
        <v>949</v>
      </c>
      <c r="G1708">
        <v>44</v>
      </c>
      <c r="H1708" t="s">
        <v>16</v>
      </c>
      <c r="I1708">
        <v>12.1</v>
      </c>
      <c r="J1708">
        <v>12.5</v>
      </c>
      <c r="L1708" t="s">
        <v>15</v>
      </c>
      <c r="M1708" t="b">
        <v>0</v>
      </c>
      <c r="O1708" s="1">
        <v>46196.812557870369</v>
      </c>
    </row>
    <row r="1709" spans="1:15" x14ac:dyDescent="0.25">
      <c r="A1709">
        <v>1585733509</v>
      </c>
      <c r="B1709" t="s">
        <v>950</v>
      </c>
      <c r="C1709" t="s">
        <v>345</v>
      </c>
      <c r="D1709" t="s">
        <v>371</v>
      </c>
      <c r="E1709" t="s">
        <v>336</v>
      </c>
      <c r="F1709">
        <v>50</v>
      </c>
      <c r="K1709" s="1">
        <v>46196.876886574071</v>
      </c>
      <c r="M1709" t="b">
        <v>0</v>
      </c>
      <c r="O1709" s="1">
        <v>46196.876886574071</v>
      </c>
    </row>
    <row r="1710" spans="1:15" x14ac:dyDescent="0.25">
      <c r="A1710">
        <v>-1823061918</v>
      </c>
      <c r="B1710" t="s">
        <v>950</v>
      </c>
      <c r="G1710">
        <v>41</v>
      </c>
      <c r="H1710" t="s">
        <v>29</v>
      </c>
      <c r="I1710">
        <v>225</v>
      </c>
      <c r="J1710">
        <v>225.1</v>
      </c>
      <c r="L1710" t="s">
        <v>12</v>
      </c>
      <c r="M1710" t="b">
        <v>0</v>
      </c>
      <c r="O1710" s="1">
        <v>46196.876886574071</v>
      </c>
    </row>
    <row r="1711" spans="1:15" x14ac:dyDescent="0.25">
      <c r="A1711">
        <v>431146299</v>
      </c>
      <c r="B1711" t="s">
        <v>950</v>
      </c>
      <c r="G1711">
        <v>35</v>
      </c>
      <c r="H1711" t="s">
        <v>36</v>
      </c>
      <c r="I1711">
        <v>30</v>
      </c>
      <c r="J1711">
        <v>29.8</v>
      </c>
      <c r="L1711" t="s">
        <v>12</v>
      </c>
      <c r="M1711" t="b">
        <v>0</v>
      </c>
      <c r="O1711" s="1">
        <v>46196.876886574071</v>
      </c>
    </row>
    <row r="1712" spans="1:15" x14ac:dyDescent="0.25">
      <c r="A1712">
        <v>-1990218400</v>
      </c>
      <c r="B1712" t="s">
        <v>950</v>
      </c>
      <c r="G1712">
        <v>44</v>
      </c>
      <c r="H1712" t="s">
        <v>16</v>
      </c>
      <c r="I1712">
        <v>14</v>
      </c>
      <c r="J1712">
        <v>13.9</v>
      </c>
      <c r="L1712" t="s">
        <v>12</v>
      </c>
      <c r="M1712" t="b">
        <v>0</v>
      </c>
      <c r="O1712" s="1">
        <v>46196.876886574071</v>
      </c>
    </row>
    <row r="1713" spans="1:15" x14ac:dyDescent="0.25">
      <c r="A1713">
        <v>-1072179474</v>
      </c>
      <c r="B1713" t="s">
        <v>951</v>
      </c>
      <c r="C1713" t="s">
        <v>345</v>
      </c>
      <c r="D1713" t="s">
        <v>371</v>
      </c>
      <c r="E1713" t="s">
        <v>336</v>
      </c>
      <c r="F1713">
        <v>50</v>
      </c>
      <c r="K1713" s="1">
        <v>46197.031111111108</v>
      </c>
      <c r="M1713" t="b">
        <v>0</v>
      </c>
      <c r="O1713" s="1">
        <v>46197.031111111108</v>
      </c>
    </row>
    <row r="1714" spans="1:15" x14ac:dyDescent="0.25">
      <c r="A1714">
        <v>-993354793</v>
      </c>
      <c r="B1714" t="s">
        <v>951</v>
      </c>
      <c r="G1714">
        <v>41</v>
      </c>
      <c r="H1714" t="s">
        <v>29</v>
      </c>
      <c r="I1714">
        <v>225</v>
      </c>
      <c r="J1714">
        <v>224.7</v>
      </c>
      <c r="L1714" t="s">
        <v>12</v>
      </c>
      <c r="M1714" t="b">
        <v>0</v>
      </c>
      <c r="O1714" s="1">
        <v>46197.031111111108</v>
      </c>
    </row>
    <row r="1715" spans="1:15" x14ac:dyDescent="0.25">
      <c r="A1715">
        <v>-1570730292</v>
      </c>
      <c r="B1715" t="s">
        <v>951</v>
      </c>
      <c r="G1715">
        <v>35</v>
      </c>
      <c r="H1715" t="s">
        <v>36</v>
      </c>
      <c r="I1715">
        <v>30</v>
      </c>
      <c r="J1715">
        <v>30.1</v>
      </c>
      <c r="L1715" t="s">
        <v>12</v>
      </c>
      <c r="M1715" t="b">
        <v>0</v>
      </c>
      <c r="O1715" s="1">
        <v>46197.031111111108</v>
      </c>
    </row>
    <row r="1716" spans="1:15" x14ac:dyDescent="0.25">
      <c r="A1716">
        <v>38035933</v>
      </c>
      <c r="B1716" t="s">
        <v>951</v>
      </c>
      <c r="G1716">
        <v>44</v>
      </c>
      <c r="H1716" t="s">
        <v>16</v>
      </c>
      <c r="I1716">
        <v>14</v>
      </c>
      <c r="J1716">
        <v>17.100000000000001</v>
      </c>
      <c r="L1716" t="s">
        <v>15</v>
      </c>
      <c r="M1716" t="b">
        <v>0</v>
      </c>
      <c r="O1716" s="1">
        <v>46197.031111111108</v>
      </c>
    </row>
    <row r="1717" spans="1:15" x14ac:dyDescent="0.25">
      <c r="A1717">
        <v>1037856380</v>
      </c>
      <c r="B1717" t="s">
        <v>952</v>
      </c>
      <c r="C1717" t="s">
        <v>376</v>
      </c>
      <c r="D1717" t="s">
        <v>377</v>
      </c>
      <c r="E1717" t="s">
        <v>340</v>
      </c>
      <c r="F1717">
        <v>450</v>
      </c>
      <c r="K1717" s="1">
        <v>46197.12363425926</v>
      </c>
      <c r="M1717" t="b">
        <v>0</v>
      </c>
      <c r="O1717" s="1">
        <v>46197.12363425926</v>
      </c>
    </row>
    <row r="1718" spans="1:15" x14ac:dyDescent="0.25">
      <c r="A1718">
        <v>503501773</v>
      </c>
      <c r="B1718" t="s">
        <v>952</v>
      </c>
      <c r="G1718">
        <v>41</v>
      </c>
      <c r="H1718" t="s">
        <v>29</v>
      </c>
      <c r="I1718">
        <v>972</v>
      </c>
      <c r="J1718">
        <v>972.3</v>
      </c>
      <c r="L1718" t="s">
        <v>12</v>
      </c>
      <c r="M1718" t="b">
        <v>0</v>
      </c>
      <c r="O1718" s="1">
        <v>46197.12363425926</v>
      </c>
    </row>
    <row r="1719" spans="1:15" x14ac:dyDescent="0.25">
      <c r="A1719">
        <v>-2096535286</v>
      </c>
      <c r="B1719" t="s">
        <v>952</v>
      </c>
      <c r="G1719">
        <v>58</v>
      </c>
      <c r="H1719" t="s">
        <v>32</v>
      </c>
      <c r="I1719">
        <v>1993.5</v>
      </c>
      <c r="J1719">
        <v>1992.9</v>
      </c>
      <c r="L1719" t="s">
        <v>12</v>
      </c>
      <c r="M1719" t="b">
        <v>0</v>
      </c>
      <c r="O1719" s="1">
        <v>46197.12363425926</v>
      </c>
    </row>
    <row r="1720" spans="1:15" x14ac:dyDescent="0.25">
      <c r="A1720">
        <v>226915011</v>
      </c>
      <c r="B1720" t="s">
        <v>952</v>
      </c>
      <c r="G1720">
        <v>35</v>
      </c>
      <c r="H1720" t="s">
        <v>36</v>
      </c>
      <c r="I1720">
        <v>339.3</v>
      </c>
      <c r="J1720">
        <v>339</v>
      </c>
      <c r="L1720" t="s">
        <v>12</v>
      </c>
      <c r="M1720" t="b">
        <v>0</v>
      </c>
      <c r="O1720" s="1">
        <v>46197.12363425926</v>
      </c>
    </row>
    <row r="1721" spans="1:15" x14ac:dyDescent="0.25">
      <c r="A1721">
        <v>1300061768</v>
      </c>
      <c r="B1721" t="s">
        <v>952</v>
      </c>
      <c r="G1721">
        <v>16</v>
      </c>
      <c r="H1721" t="s">
        <v>13</v>
      </c>
      <c r="I1721">
        <v>137.69999999999999</v>
      </c>
      <c r="J1721">
        <v>136.80000000000001</v>
      </c>
      <c r="L1721" t="s">
        <v>12</v>
      </c>
      <c r="M1721" t="b">
        <v>0</v>
      </c>
      <c r="O1721" s="1">
        <v>46197.12363425926</v>
      </c>
    </row>
    <row r="1722" spans="1:15" x14ac:dyDescent="0.25">
      <c r="A1722">
        <v>1031750356</v>
      </c>
      <c r="B1722" t="s">
        <v>953</v>
      </c>
      <c r="C1722" t="s">
        <v>379</v>
      </c>
      <c r="D1722">
        <v>202</v>
      </c>
      <c r="E1722" t="s">
        <v>336</v>
      </c>
      <c r="F1722">
        <v>120</v>
      </c>
      <c r="K1722" s="1">
        <v>46197.133101851854</v>
      </c>
      <c r="M1722" t="b">
        <v>0</v>
      </c>
      <c r="O1722" s="1">
        <v>46197.133101851854</v>
      </c>
    </row>
    <row r="1723" spans="1:15" x14ac:dyDescent="0.25">
      <c r="A1723">
        <v>-1234618555</v>
      </c>
      <c r="B1723" t="s">
        <v>953</v>
      </c>
      <c r="G1723">
        <v>41</v>
      </c>
      <c r="H1723" t="s">
        <v>29</v>
      </c>
      <c r="I1723">
        <v>600</v>
      </c>
      <c r="J1723">
        <v>600.20000000000005</v>
      </c>
      <c r="L1723" t="s">
        <v>12</v>
      </c>
      <c r="M1723" t="b">
        <v>0</v>
      </c>
      <c r="O1723" s="1">
        <v>46197.133101851854</v>
      </c>
    </row>
    <row r="1724" spans="1:15" x14ac:dyDescent="0.25">
      <c r="A1724">
        <v>-25850463</v>
      </c>
      <c r="B1724" t="s">
        <v>954</v>
      </c>
      <c r="C1724" t="s">
        <v>937</v>
      </c>
      <c r="D1724" t="s">
        <v>938</v>
      </c>
      <c r="E1724" t="s">
        <v>336</v>
      </c>
      <c r="F1724">
        <v>50</v>
      </c>
      <c r="K1724" s="1">
        <v>46197.17895833333</v>
      </c>
      <c r="M1724" t="b">
        <v>0</v>
      </c>
      <c r="O1724" s="1">
        <v>46197.17895833333</v>
      </c>
    </row>
    <row r="1725" spans="1:15" x14ac:dyDescent="0.25">
      <c r="A1725">
        <v>1529383758</v>
      </c>
      <c r="B1725" t="s">
        <v>954</v>
      </c>
      <c r="G1725">
        <v>54</v>
      </c>
      <c r="H1725" t="s">
        <v>162</v>
      </c>
      <c r="I1725">
        <v>10.5</v>
      </c>
      <c r="J1725">
        <v>10.5</v>
      </c>
      <c r="L1725" t="s">
        <v>12</v>
      </c>
      <c r="M1725" t="b">
        <v>0</v>
      </c>
      <c r="O1725" s="1">
        <v>46197.17895833333</v>
      </c>
    </row>
    <row r="1726" spans="1:15" x14ac:dyDescent="0.25">
      <c r="A1726">
        <v>1086886071</v>
      </c>
      <c r="B1726" t="s">
        <v>954</v>
      </c>
      <c r="G1726">
        <v>75</v>
      </c>
      <c r="H1726" t="s">
        <v>173</v>
      </c>
      <c r="I1726">
        <v>260</v>
      </c>
      <c r="J1726">
        <v>259.8</v>
      </c>
      <c r="L1726" t="s">
        <v>12</v>
      </c>
      <c r="M1726" t="b">
        <v>0</v>
      </c>
      <c r="O1726" s="1">
        <v>46197.17895833333</v>
      </c>
    </row>
    <row r="1727" spans="1:15" x14ac:dyDescent="0.25">
      <c r="A1727">
        <v>1879431724</v>
      </c>
      <c r="B1727" t="s">
        <v>954</v>
      </c>
      <c r="G1727">
        <v>41</v>
      </c>
      <c r="H1727" t="s">
        <v>29</v>
      </c>
      <c r="I1727">
        <v>135</v>
      </c>
      <c r="J1727">
        <v>134.69999999999999</v>
      </c>
      <c r="L1727" t="s">
        <v>12</v>
      </c>
      <c r="M1727" t="b">
        <v>0</v>
      </c>
      <c r="O1727" s="1">
        <v>46197.17895833333</v>
      </c>
    </row>
    <row r="1728" spans="1:15" x14ac:dyDescent="0.25">
      <c r="A1728">
        <v>-1576345155</v>
      </c>
      <c r="B1728" t="s">
        <v>954</v>
      </c>
      <c r="G1728">
        <v>44</v>
      </c>
      <c r="H1728" t="s">
        <v>16</v>
      </c>
      <c r="I1728">
        <v>21</v>
      </c>
      <c r="J1728">
        <v>21</v>
      </c>
      <c r="L1728" t="s">
        <v>12</v>
      </c>
      <c r="M1728" t="b">
        <v>0</v>
      </c>
      <c r="O1728" s="1">
        <v>46197.17895833333</v>
      </c>
    </row>
    <row r="1729" spans="1:15" x14ac:dyDescent="0.25">
      <c r="A1729">
        <v>1074688898</v>
      </c>
      <c r="B1729" t="s">
        <v>955</v>
      </c>
      <c r="C1729" t="s">
        <v>653</v>
      </c>
      <c r="D1729" t="s">
        <v>654</v>
      </c>
      <c r="E1729" t="s">
        <v>336</v>
      </c>
      <c r="F1729">
        <v>120</v>
      </c>
      <c r="K1729" s="1">
        <v>46197.269861111112</v>
      </c>
      <c r="M1729" t="b">
        <v>0</v>
      </c>
      <c r="O1729" s="1">
        <v>46197.269861111112</v>
      </c>
    </row>
    <row r="1730" spans="1:15" x14ac:dyDescent="0.25">
      <c r="A1730">
        <v>349247963</v>
      </c>
      <c r="B1730" t="s">
        <v>955</v>
      </c>
      <c r="G1730">
        <v>41</v>
      </c>
      <c r="H1730" t="s">
        <v>29</v>
      </c>
      <c r="I1730">
        <v>1740</v>
      </c>
      <c r="J1730">
        <v>1740.5</v>
      </c>
      <c r="L1730" t="s">
        <v>12</v>
      </c>
      <c r="M1730" t="b">
        <v>0</v>
      </c>
      <c r="O1730" s="1">
        <v>46197.269861111112</v>
      </c>
    </row>
    <row r="1731" spans="1:15" x14ac:dyDescent="0.25">
      <c r="A1731">
        <v>-2092083828</v>
      </c>
      <c r="B1731" t="s">
        <v>956</v>
      </c>
      <c r="C1731" t="s">
        <v>718</v>
      </c>
      <c r="D1731" t="s">
        <v>719</v>
      </c>
      <c r="E1731" t="s">
        <v>340</v>
      </c>
      <c r="F1731">
        <v>250</v>
      </c>
      <c r="K1731" s="1">
        <v>46197.285046296296</v>
      </c>
      <c r="M1731" t="b">
        <v>0</v>
      </c>
      <c r="O1731" s="1">
        <v>46197.285046296296</v>
      </c>
    </row>
    <row r="1732" spans="1:15" x14ac:dyDescent="0.25">
      <c r="A1732">
        <v>913559965</v>
      </c>
      <c r="B1732" t="s">
        <v>956</v>
      </c>
      <c r="G1732">
        <v>41</v>
      </c>
      <c r="H1732" t="s">
        <v>29</v>
      </c>
      <c r="I1732">
        <v>6250</v>
      </c>
      <c r="J1732">
        <v>6258.7</v>
      </c>
      <c r="L1732" t="s">
        <v>12</v>
      </c>
      <c r="M1732" t="b">
        <v>0</v>
      </c>
      <c r="O1732" s="1">
        <v>46197.285046296296</v>
      </c>
    </row>
    <row r="1733" spans="1:15" x14ac:dyDescent="0.25">
      <c r="A1733">
        <v>-1225857382</v>
      </c>
      <c r="B1733" t="s">
        <v>956</v>
      </c>
      <c r="G1733">
        <v>16</v>
      </c>
      <c r="H1733" t="s">
        <v>13</v>
      </c>
      <c r="I1733">
        <v>125</v>
      </c>
      <c r="J1733">
        <v>125.2</v>
      </c>
      <c r="L1733" t="s">
        <v>12</v>
      </c>
      <c r="M1733" t="b">
        <v>0</v>
      </c>
      <c r="O1733" s="1">
        <v>46197.285046296296</v>
      </c>
    </row>
    <row r="1734" spans="1:15" x14ac:dyDescent="0.25">
      <c r="A1734">
        <v>-273881837</v>
      </c>
      <c r="B1734" t="s">
        <v>956</v>
      </c>
      <c r="G1734">
        <v>68</v>
      </c>
      <c r="H1734" t="s">
        <v>14</v>
      </c>
      <c r="I1734">
        <v>25</v>
      </c>
      <c r="J1734">
        <v>25</v>
      </c>
      <c r="L1734" t="s">
        <v>12</v>
      </c>
      <c r="M1734" t="b">
        <v>0</v>
      </c>
      <c r="O1734" s="1">
        <v>46197.285046296296</v>
      </c>
    </row>
    <row r="1735" spans="1:15" x14ac:dyDescent="0.25">
      <c r="A1735">
        <v>-1661774248</v>
      </c>
      <c r="B1735" t="s">
        <v>957</v>
      </c>
      <c r="C1735" t="s">
        <v>338</v>
      </c>
      <c r="D1735" t="s">
        <v>958</v>
      </c>
      <c r="E1735" t="s">
        <v>313</v>
      </c>
      <c r="F1735">
        <v>50</v>
      </c>
      <c r="K1735" s="1">
        <v>46197.296180555553</v>
      </c>
      <c r="M1735" t="b">
        <v>0</v>
      </c>
      <c r="O1735" s="1">
        <v>46197.296180555553</v>
      </c>
    </row>
    <row r="1736" spans="1:15" x14ac:dyDescent="0.25">
      <c r="A1736">
        <v>341392761</v>
      </c>
      <c r="B1736" t="s">
        <v>957</v>
      </c>
      <c r="G1736">
        <v>41</v>
      </c>
      <c r="H1736" t="s">
        <v>29</v>
      </c>
      <c r="I1736">
        <v>500</v>
      </c>
      <c r="J1736">
        <v>500.2</v>
      </c>
      <c r="L1736" t="s">
        <v>12</v>
      </c>
      <c r="M1736" t="b">
        <v>0</v>
      </c>
      <c r="O1736" s="1">
        <v>46197.296180555553</v>
      </c>
    </row>
    <row r="1737" spans="1:15" x14ac:dyDescent="0.25">
      <c r="A1737">
        <v>-2111142842</v>
      </c>
      <c r="B1737" t="s">
        <v>957</v>
      </c>
      <c r="G1737">
        <v>51</v>
      </c>
      <c r="H1737" t="s">
        <v>137</v>
      </c>
      <c r="I1737">
        <v>34</v>
      </c>
      <c r="J1737">
        <v>34.299999999999997</v>
      </c>
      <c r="L1737" t="s">
        <v>12</v>
      </c>
      <c r="M1737" t="b">
        <v>0</v>
      </c>
      <c r="O1737" s="1">
        <v>46197.296180555553</v>
      </c>
    </row>
    <row r="1738" spans="1:15" x14ac:dyDescent="0.25">
      <c r="A1738">
        <v>1204823119</v>
      </c>
      <c r="B1738" t="s">
        <v>957</v>
      </c>
      <c r="G1738">
        <v>46</v>
      </c>
      <c r="H1738" t="s">
        <v>163</v>
      </c>
      <c r="I1738">
        <v>12.5</v>
      </c>
      <c r="J1738">
        <v>12.8</v>
      </c>
      <c r="L1738" t="s">
        <v>15</v>
      </c>
      <c r="M1738" t="b">
        <v>0</v>
      </c>
      <c r="O1738" s="1">
        <v>46197.296180555553</v>
      </c>
    </row>
    <row r="1739" spans="1:15" x14ac:dyDescent="0.25">
      <c r="A1739">
        <v>-1057699776</v>
      </c>
      <c r="B1739" t="s">
        <v>959</v>
      </c>
      <c r="C1739" t="s">
        <v>825</v>
      </c>
      <c r="D1739" t="s">
        <v>596</v>
      </c>
      <c r="E1739" t="s">
        <v>313</v>
      </c>
      <c r="F1739">
        <v>50</v>
      </c>
      <c r="K1739" s="1">
        <v>46207.454328703701</v>
      </c>
      <c r="M1739" t="b">
        <v>0</v>
      </c>
      <c r="O1739" s="1">
        <v>46207.454328703701</v>
      </c>
    </row>
    <row r="1740" spans="1:15" x14ac:dyDescent="0.25">
      <c r="A1740">
        <v>-1494174911</v>
      </c>
      <c r="B1740" t="s">
        <v>959</v>
      </c>
      <c r="G1740">
        <v>41</v>
      </c>
      <c r="H1740" t="s">
        <v>29</v>
      </c>
      <c r="I1740">
        <v>340</v>
      </c>
      <c r="J1740">
        <v>340.74</v>
      </c>
      <c r="L1740" t="s">
        <v>12</v>
      </c>
      <c r="M1740" t="b">
        <v>0</v>
      </c>
      <c r="O1740" s="1">
        <v>46207.454328703701</v>
      </c>
    </row>
    <row r="1741" spans="1:15" x14ac:dyDescent="0.25">
      <c r="A1741">
        <v>-459544466</v>
      </c>
      <c r="B1741" t="s">
        <v>959</v>
      </c>
      <c r="G1741">
        <v>35</v>
      </c>
      <c r="H1741" t="s">
        <v>36</v>
      </c>
      <c r="I1741">
        <v>70</v>
      </c>
      <c r="J1741">
        <v>70.459999999999994</v>
      </c>
      <c r="L1741" t="s">
        <v>12</v>
      </c>
      <c r="M1741" t="b">
        <v>0</v>
      </c>
      <c r="O1741" s="1">
        <v>46207.454328703701</v>
      </c>
    </row>
    <row r="1742" spans="1:15" x14ac:dyDescent="0.25">
      <c r="A1742">
        <v>-1212502185</v>
      </c>
      <c r="B1742" t="s">
        <v>959</v>
      </c>
      <c r="G1742">
        <v>44</v>
      </c>
      <c r="H1742" t="s">
        <v>16</v>
      </c>
      <c r="I1742">
        <v>19</v>
      </c>
      <c r="J1742">
        <v>18.96</v>
      </c>
      <c r="L1742" t="s">
        <v>12</v>
      </c>
      <c r="M1742" t="b">
        <v>0</v>
      </c>
      <c r="O1742" s="1">
        <v>46207.454328703701</v>
      </c>
    </row>
    <row r="1743" spans="1:15" x14ac:dyDescent="0.25">
      <c r="A1743">
        <v>-1019456691</v>
      </c>
      <c r="B1743" t="s">
        <v>960</v>
      </c>
      <c r="C1743" t="s">
        <v>392</v>
      </c>
      <c r="D1743" t="s">
        <v>912</v>
      </c>
      <c r="E1743" t="s">
        <v>313</v>
      </c>
      <c r="F1743">
        <v>250</v>
      </c>
      <c r="K1743" s="1">
        <v>46197.431956018518</v>
      </c>
      <c r="M1743" t="b">
        <v>0</v>
      </c>
      <c r="O1743" s="1">
        <v>46197.431956018518</v>
      </c>
    </row>
    <row r="1744" spans="1:15" x14ac:dyDescent="0.25">
      <c r="A1744">
        <v>-1766731126</v>
      </c>
      <c r="B1744" t="s">
        <v>960</v>
      </c>
      <c r="G1744">
        <v>41</v>
      </c>
      <c r="H1744" t="s">
        <v>29</v>
      </c>
      <c r="I1744">
        <v>5500</v>
      </c>
      <c r="J1744">
        <v>5506.6</v>
      </c>
      <c r="L1744" t="s">
        <v>12</v>
      </c>
      <c r="M1744" t="b">
        <v>0</v>
      </c>
      <c r="O1744" s="1">
        <v>46197.431956018518</v>
      </c>
    </row>
    <row r="1745" spans="1:15" x14ac:dyDescent="0.25">
      <c r="A1745">
        <v>-1326842301</v>
      </c>
      <c r="B1745" t="s">
        <v>960</v>
      </c>
      <c r="G1745">
        <v>4</v>
      </c>
      <c r="H1745" t="s">
        <v>27</v>
      </c>
      <c r="I1745">
        <v>1010</v>
      </c>
      <c r="J1745">
        <v>1020.4</v>
      </c>
      <c r="L1745" t="s">
        <v>15</v>
      </c>
      <c r="M1745" t="b">
        <v>0</v>
      </c>
      <c r="O1745" s="1">
        <v>46197.431956018518</v>
      </c>
    </row>
    <row r="1746" spans="1:15" x14ac:dyDescent="0.25">
      <c r="A1746">
        <v>-716053560</v>
      </c>
      <c r="B1746" t="s">
        <v>960</v>
      </c>
      <c r="G1746">
        <v>11</v>
      </c>
      <c r="H1746" t="s">
        <v>33</v>
      </c>
      <c r="I1746">
        <v>2300.5</v>
      </c>
      <c r="J1746">
        <v>2293.3000000000002</v>
      </c>
      <c r="L1746" t="s">
        <v>12</v>
      </c>
      <c r="M1746" t="b">
        <v>0</v>
      </c>
      <c r="O1746" s="1">
        <v>46197.431956018518</v>
      </c>
    </row>
    <row r="1747" spans="1:15" x14ac:dyDescent="0.25">
      <c r="A1747">
        <v>-2135540530</v>
      </c>
      <c r="B1747" t="s">
        <v>961</v>
      </c>
      <c r="C1747" t="s">
        <v>825</v>
      </c>
      <c r="D1747" t="s">
        <v>596</v>
      </c>
      <c r="E1747" t="s">
        <v>313</v>
      </c>
      <c r="F1747">
        <v>50</v>
      </c>
      <c r="K1747" s="1">
        <v>46197.452453703707</v>
      </c>
      <c r="M1747" t="b">
        <v>0</v>
      </c>
      <c r="O1747" s="1">
        <v>46197.452453703707</v>
      </c>
    </row>
    <row r="1748" spans="1:15" x14ac:dyDescent="0.25">
      <c r="A1748">
        <v>136954935</v>
      </c>
      <c r="B1748" t="s">
        <v>961</v>
      </c>
      <c r="G1748">
        <v>41</v>
      </c>
      <c r="H1748" t="s">
        <v>29</v>
      </c>
      <c r="I1748">
        <v>340</v>
      </c>
      <c r="J1748">
        <v>341.3</v>
      </c>
      <c r="L1748" t="s">
        <v>12</v>
      </c>
      <c r="M1748" t="b">
        <v>0</v>
      </c>
      <c r="O1748" s="1">
        <v>46197.452453703707</v>
      </c>
    </row>
    <row r="1749" spans="1:15" x14ac:dyDescent="0.25">
      <c r="A1749">
        <v>811657132</v>
      </c>
      <c r="B1749" t="s">
        <v>961</v>
      </c>
      <c r="G1749">
        <v>35</v>
      </c>
      <c r="H1749" t="s">
        <v>36</v>
      </c>
      <c r="I1749">
        <v>70</v>
      </c>
      <c r="J1749">
        <v>70.599999999999994</v>
      </c>
      <c r="L1749" t="s">
        <v>12</v>
      </c>
      <c r="M1749" t="b">
        <v>0</v>
      </c>
      <c r="O1749" s="1">
        <v>46197.452453703707</v>
      </c>
    </row>
    <row r="1750" spans="1:15" x14ac:dyDescent="0.25">
      <c r="A1750">
        <v>539836733</v>
      </c>
      <c r="B1750" t="s">
        <v>961</v>
      </c>
      <c r="G1750">
        <v>44</v>
      </c>
      <c r="H1750" t="s">
        <v>16</v>
      </c>
      <c r="I1750">
        <v>19</v>
      </c>
      <c r="J1750">
        <v>19.100000000000001</v>
      </c>
      <c r="L1750" t="s">
        <v>12</v>
      </c>
      <c r="M1750" t="b">
        <v>0</v>
      </c>
      <c r="O1750" s="1">
        <v>46197.452453703707</v>
      </c>
    </row>
    <row r="1751" spans="1:15" x14ac:dyDescent="0.25">
      <c r="A1751">
        <v>785466810</v>
      </c>
      <c r="B1751" t="s">
        <v>962</v>
      </c>
      <c r="C1751" t="s">
        <v>379</v>
      </c>
      <c r="D1751" t="s">
        <v>647</v>
      </c>
      <c r="E1751" t="s">
        <v>340</v>
      </c>
      <c r="F1751">
        <v>450</v>
      </c>
      <c r="K1751" s="1">
        <v>46197.483912037038</v>
      </c>
      <c r="M1751" t="b">
        <v>0</v>
      </c>
      <c r="O1751" s="1">
        <v>46197.483912037038</v>
      </c>
    </row>
    <row r="1752" spans="1:15" x14ac:dyDescent="0.25">
      <c r="A1752">
        <v>-1947312717</v>
      </c>
      <c r="B1752" t="s">
        <v>962</v>
      </c>
      <c r="G1752">
        <v>41</v>
      </c>
      <c r="H1752" t="s">
        <v>29</v>
      </c>
      <c r="I1752">
        <v>2250</v>
      </c>
      <c r="J1752">
        <v>2256.1999999999998</v>
      </c>
      <c r="L1752" t="s">
        <v>12</v>
      </c>
      <c r="M1752" t="b">
        <v>0</v>
      </c>
      <c r="O1752" s="1">
        <v>46197.483912037038</v>
      </c>
    </row>
    <row r="1753" spans="1:15" x14ac:dyDescent="0.25">
      <c r="A1753">
        <v>-1458419120</v>
      </c>
      <c r="B1753" t="s">
        <v>963</v>
      </c>
      <c r="C1753" t="s">
        <v>937</v>
      </c>
      <c r="D1753" t="s">
        <v>938</v>
      </c>
      <c r="E1753" t="s">
        <v>336</v>
      </c>
      <c r="F1753">
        <v>50</v>
      </c>
      <c r="K1753" s="1">
        <v>46197.528946759259</v>
      </c>
      <c r="M1753" t="b">
        <v>0</v>
      </c>
      <c r="O1753" s="1">
        <v>46197.528946759259</v>
      </c>
    </row>
    <row r="1754" spans="1:15" x14ac:dyDescent="0.25">
      <c r="A1754">
        <v>721088529</v>
      </c>
      <c r="B1754" t="s">
        <v>963</v>
      </c>
      <c r="G1754">
        <v>54</v>
      </c>
      <c r="H1754" t="s">
        <v>162</v>
      </c>
      <c r="I1754">
        <v>10.5</v>
      </c>
      <c r="J1754">
        <v>11.5</v>
      </c>
      <c r="L1754" t="s">
        <v>15</v>
      </c>
      <c r="M1754" t="b">
        <v>0</v>
      </c>
      <c r="O1754" s="1">
        <v>46197.528946759259</v>
      </c>
    </row>
    <row r="1755" spans="1:15" x14ac:dyDescent="0.25">
      <c r="A1755">
        <v>1896577278</v>
      </c>
      <c r="B1755" t="s">
        <v>963</v>
      </c>
      <c r="G1755">
        <v>75</v>
      </c>
      <c r="H1755" t="s">
        <v>173</v>
      </c>
      <c r="I1755">
        <v>260</v>
      </c>
      <c r="J1755">
        <v>260.2</v>
      </c>
      <c r="L1755" t="s">
        <v>12</v>
      </c>
      <c r="M1755" t="b">
        <v>0</v>
      </c>
      <c r="O1755" s="1">
        <v>46197.528946759259</v>
      </c>
    </row>
    <row r="1756" spans="1:15" x14ac:dyDescent="0.25">
      <c r="A1756">
        <v>-147294041</v>
      </c>
      <c r="B1756" t="s">
        <v>963</v>
      </c>
      <c r="G1756">
        <v>41</v>
      </c>
      <c r="H1756" t="s">
        <v>29</v>
      </c>
      <c r="I1756">
        <v>135</v>
      </c>
      <c r="J1756">
        <v>136.5</v>
      </c>
      <c r="L1756" t="s">
        <v>15</v>
      </c>
      <c r="M1756" t="b">
        <v>0</v>
      </c>
      <c r="O1756" s="1">
        <v>46197.528946759259</v>
      </c>
    </row>
    <row r="1757" spans="1:15" x14ac:dyDescent="0.25">
      <c r="A1757">
        <v>1477656412</v>
      </c>
      <c r="B1757" t="s">
        <v>963</v>
      </c>
      <c r="G1757">
        <v>44</v>
      </c>
      <c r="H1757" t="s">
        <v>16</v>
      </c>
      <c r="I1757">
        <v>21</v>
      </c>
      <c r="J1757">
        <v>20.9</v>
      </c>
      <c r="L1757" t="s">
        <v>12</v>
      </c>
      <c r="M1757" t="b">
        <v>0</v>
      </c>
      <c r="O1757" s="1">
        <v>46197.528946759259</v>
      </c>
    </row>
    <row r="1758" spans="1:15" x14ac:dyDescent="0.25">
      <c r="A1758">
        <v>-680483386</v>
      </c>
      <c r="B1758" t="s">
        <v>964</v>
      </c>
      <c r="C1758" t="s">
        <v>965</v>
      </c>
      <c r="D1758" t="s">
        <v>966</v>
      </c>
      <c r="E1758" t="s">
        <v>313</v>
      </c>
      <c r="F1758">
        <v>50</v>
      </c>
      <c r="K1758" s="1">
        <v>46197.606076388889</v>
      </c>
      <c r="M1758" t="b">
        <v>0</v>
      </c>
      <c r="O1758" s="1">
        <v>46197.606076388889</v>
      </c>
    </row>
    <row r="1759" spans="1:15" x14ac:dyDescent="0.25">
      <c r="A1759">
        <v>658311119</v>
      </c>
      <c r="B1759" t="s">
        <v>964</v>
      </c>
      <c r="G1759">
        <v>41</v>
      </c>
      <c r="H1759" t="s">
        <v>29</v>
      </c>
      <c r="I1759">
        <v>250</v>
      </c>
      <c r="J1759">
        <v>251</v>
      </c>
      <c r="L1759" t="s">
        <v>12</v>
      </c>
      <c r="M1759" t="b">
        <v>0</v>
      </c>
      <c r="O1759" s="1">
        <v>46197.606076388889</v>
      </c>
    </row>
    <row r="1760" spans="1:15" x14ac:dyDescent="0.25">
      <c r="A1760">
        <v>-478258844</v>
      </c>
      <c r="B1760" t="s">
        <v>964</v>
      </c>
      <c r="G1760">
        <v>35</v>
      </c>
      <c r="H1760" t="s">
        <v>36</v>
      </c>
      <c r="I1760">
        <v>60.5</v>
      </c>
      <c r="J1760">
        <v>60.6</v>
      </c>
      <c r="L1760" t="s">
        <v>12</v>
      </c>
      <c r="M1760" t="b">
        <v>0</v>
      </c>
      <c r="O1760" s="1">
        <v>46197.606076388889</v>
      </c>
    </row>
    <row r="1761" spans="1:15" x14ac:dyDescent="0.25">
      <c r="A1761">
        <v>-492850419</v>
      </c>
      <c r="B1761" t="s">
        <v>967</v>
      </c>
      <c r="C1761" t="s">
        <v>379</v>
      </c>
      <c r="D1761" t="s">
        <v>647</v>
      </c>
      <c r="E1761" t="s">
        <v>313</v>
      </c>
      <c r="F1761">
        <v>450</v>
      </c>
      <c r="K1761" s="1">
        <v>46197.639976851853</v>
      </c>
      <c r="M1761" t="b">
        <v>0</v>
      </c>
      <c r="O1761" s="1">
        <v>46197.639976851853</v>
      </c>
    </row>
    <row r="1762" spans="1:15" x14ac:dyDescent="0.25">
      <c r="A1762">
        <v>-1825560758</v>
      </c>
      <c r="B1762" t="s">
        <v>967</v>
      </c>
      <c r="G1762">
        <v>41</v>
      </c>
      <c r="H1762" t="s">
        <v>29</v>
      </c>
      <c r="I1762">
        <v>2250</v>
      </c>
      <c r="J1762">
        <v>2253</v>
      </c>
      <c r="L1762" t="s">
        <v>12</v>
      </c>
      <c r="M1762" t="b">
        <v>0</v>
      </c>
      <c r="O1762" s="1">
        <v>46197.639976851853</v>
      </c>
    </row>
    <row r="1763" spans="1:15" x14ac:dyDescent="0.25">
      <c r="A1763">
        <v>1349731976</v>
      </c>
      <c r="B1763" t="s">
        <v>968</v>
      </c>
      <c r="C1763" t="s">
        <v>969</v>
      </c>
      <c r="D1763" t="s">
        <v>218</v>
      </c>
      <c r="E1763" t="s">
        <v>336</v>
      </c>
      <c r="F1763">
        <v>50</v>
      </c>
      <c r="K1763" s="1">
        <v>46197.66915509259</v>
      </c>
      <c r="M1763" t="b">
        <v>0</v>
      </c>
      <c r="O1763" s="1">
        <v>46197.66915509259</v>
      </c>
    </row>
    <row r="1764" spans="1:15" x14ac:dyDescent="0.25">
      <c r="A1764">
        <v>-1348364823</v>
      </c>
      <c r="B1764" t="s">
        <v>968</v>
      </c>
      <c r="G1764">
        <v>41</v>
      </c>
      <c r="H1764" t="s">
        <v>29</v>
      </c>
      <c r="I1764">
        <v>1470.5</v>
      </c>
      <c r="J1764">
        <v>1472</v>
      </c>
      <c r="L1764" t="s">
        <v>12</v>
      </c>
      <c r="M1764" t="b">
        <v>0</v>
      </c>
      <c r="O1764" s="1">
        <v>46197.66915509259</v>
      </c>
    </row>
    <row r="1765" spans="1:15" x14ac:dyDescent="0.25">
      <c r="A1765">
        <v>-1185501194</v>
      </c>
      <c r="B1765" t="s">
        <v>968</v>
      </c>
      <c r="G1765">
        <v>35</v>
      </c>
      <c r="H1765" t="s">
        <v>36</v>
      </c>
      <c r="I1765">
        <v>128</v>
      </c>
      <c r="J1765">
        <v>127.7</v>
      </c>
      <c r="L1765" t="s">
        <v>12</v>
      </c>
      <c r="M1765" t="b">
        <v>0</v>
      </c>
      <c r="O1765" s="1">
        <v>46197.66915509259</v>
      </c>
    </row>
    <row r="1766" spans="1:15" x14ac:dyDescent="0.25">
      <c r="A1766">
        <v>634647103</v>
      </c>
      <c r="B1766" t="s">
        <v>968</v>
      </c>
      <c r="G1766">
        <v>11</v>
      </c>
      <c r="H1766" t="s">
        <v>33</v>
      </c>
      <c r="I1766">
        <v>19.5</v>
      </c>
      <c r="J1766">
        <v>19.8</v>
      </c>
      <c r="L1766" t="s">
        <v>15</v>
      </c>
      <c r="M1766" t="b">
        <v>0</v>
      </c>
      <c r="O1766" s="1">
        <v>46197.66915509259</v>
      </c>
    </row>
    <row r="1767" spans="1:15" x14ac:dyDescent="0.25">
      <c r="A1767">
        <v>-952398228</v>
      </c>
      <c r="B1767" t="s">
        <v>970</v>
      </c>
      <c r="C1767" t="s">
        <v>650</v>
      </c>
      <c r="D1767" t="s">
        <v>383</v>
      </c>
      <c r="E1767" t="s">
        <v>313</v>
      </c>
      <c r="F1767">
        <v>50</v>
      </c>
      <c r="K1767" s="1">
        <v>46197.714247685188</v>
      </c>
      <c r="M1767" t="b">
        <v>0</v>
      </c>
      <c r="O1767" s="1">
        <v>46197.714247685188</v>
      </c>
    </row>
    <row r="1768" spans="1:15" x14ac:dyDescent="0.25">
      <c r="A1768">
        <v>107811069</v>
      </c>
      <c r="B1768" t="s">
        <v>970</v>
      </c>
      <c r="G1768">
        <v>58</v>
      </c>
      <c r="H1768" t="s">
        <v>32</v>
      </c>
      <c r="I1768">
        <v>600</v>
      </c>
      <c r="J1768">
        <v>601.9</v>
      </c>
      <c r="L1768" t="s">
        <v>12</v>
      </c>
      <c r="M1768" t="b">
        <v>0</v>
      </c>
      <c r="O1768" s="1">
        <v>46197.714247685188</v>
      </c>
    </row>
    <row r="1769" spans="1:15" x14ac:dyDescent="0.25">
      <c r="A1769">
        <v>749685370</v>
      </c>
      <c r="B1769" t="s">
        <v>970</v>
      </c>
      <c r="H1769" t="s">
        <v>29</v>
      </c>
      <c r="I1769">
        <v>400</v>
      </c>
      <c r="J1769">
        <v>400.5</v>
      </c>
      <c r="L1769" t="s">
        <v>12</v>
      </c>
      <c r="M1769" t="b">
        <v>0</v>
      </c>
      <c r="O1769" s="1">
        <v>46197.714247685188</v>
      </c>
    </row>
    <row r="1770" spans="1:15" x14ac:dyDescent="0.25">
      <c r="A1770">
        <v>339325811</v>
      </c>
      <c r="B1770" t="s">
        <v>970</v>
      </c>
      <c r="G1770">
        <v>35</v>
      </c>
      <c r="H1770" t="s">
        <v>36</v>
      </c>
      <c r="I1770">
        <v>69</v>
      </c>
      <c r="J1770">
        <v>69.5</v>
      </c>
      <c r="L1770" t="s">
        <v>12</v>
      </c>
      <c r="M1770" t="b">
        <v>0</v>
      </c>
      <c r="O1770" s="1">
        <v>46197.714247685188</v>
      </c>
    </row>
    <row r="1771" spans="1:15" x14ac:dyDescent="0.25">
      <c r="A1771">
        <v>1126030648</v>
      </c>
      <c r="B1771" t="s">
        <v>970</v>
      </c>
      <c r="G1771">
        <v>44</v>
      </c>
      <c r="H1771" t="s">
        <v>16</v>
      </c>
      <c r="I1771">
        <v>41</v>
      </c>
      <c r="J1771">
        <v>42</v>
      </c>
      <c r="L1771" t="s">
        <v>15</v>
      </c>
      <c r="M1771" t="b">
        <v>0</v>
      </c>
      <c r="O1771" s="1">
        <v>46197.714247685188</v>
      </c>
    </row>
    <row r="1772" spans="1:15" x14ac:dyDescent="0.25">
      <c r="A1772">
        <v>-760402999</v>
      </c>
      <c r="B1772" t="s">
        <v>971</v>
      </c>
      <c r="C1772" t="s">
        <v>972</v>
      </c>
      <c r="D1772" t="s">
        <v>218</v>
      </c>
      <c r="E1772" t="s">
        <v>336</v>
      </c>
      <c r="F1772">
        <v>50</v>
      </c>
      <c r="K1772" s="1">
        <v>46197.80097222222</v>
      </c>
      <c r="M1772" t="b">
        <v>0</v>
      </c>
      <c r="O1772" s="1">
        <v>46197.80097222222</v>
      </c>
    </row>
    <row r="1773" spans="1:15" x14ac:dyDescent="0.25">
      <c r="A1773">
        <v>1661421654</v>
      </c>
      <c r="B1773" t="s">
        <v>971</v>
      </c>
      <c r="G1773">
        <v>41</v>
      </c>
      <c r="H1773" t="s">
        <v>29</v>
      </c>
      <c r="I1773">
        <v>1500</v>
      </c>
      <c r="J1773">
        <v>1497.9</v>
      </c>
      <c r="L1773" t="s">
        <v>12</v>
      </c>
      <c r="M1773" t="b">
        <v>0</v>
      </c>
      <c r="O1773" s="1">
        <v>46197.80097222222</v>
      </c>
    </row>
    <row r="1774" spans="1:15" x14ac:dyDescent="0.25">
      <c r="A1774">
        <v>-624624865</v>
      </c>
      <c r="B1774" t="s">
        <v>971</v>
      </c>
      <c r="G1774">
        <v>35</v>
      </c>
      <c r="H1774" t="s">
        <v>36</v>
      </c>
      <c r="I1774">
        <v>150</v>
      </c>
      <c r="J1774">
        <v>149.1</v>
      </c>
      <c r="L1774" t="s">
        <v>12</v>
      </c>
      <c r="M1774" t="b">
        <v>0</v>
      </c>
      <c r="O1774" s="1">
        <v>46197.80097222222</v>
      </c>
    </row>
    <row r="1775" spans="1:15" x14ac:dyDescent="0.25">
      <c r="A1775">
        <v>-620888460</v>
      </c>
      <c r="B1775" t="s">
        <v>971</v>
      </c>
      <c r="G1775">
        <v>11</v>
      </c>
      <c r="H1775" t="s">
        <v>33</v>
      </c>
      <c r="I1775">
        <v>23</v>
      </c>
      <c r="J1775">
        <v>23.1</v>
      </c>
      <c r="L1775" t="s">
        <v>12</v>
      </c>
      <c r="M1775" t="b">
        <v>0</v>
      </c>
      <c r="O1775" s="1">
        <v>46197.80097222222</v>
      </c>
    </row>
    <row r="1776" spans="1:15" x14ac:dyDescent="0.25">
      <c r="A1776">
        <v>-391195430</v>
      </c>
      <c r="B1776" t="s">
        <v>973</v>
      </c>
      <c r="C1776" t="s">
        <v>974</v>
      </c>
      <c r="D1776" t="s">
        <v>603</v>
      </c>
      <c r="E1776" t="s">
        <v>336</v>
      </c>
      <c r="F1776">
        <v>250</v>
      </c>
      <c r="K1776" s="1">
        <v>46197.828877314816</v>
      </c>
      <c r="M1776" t="b">
        <v>0</v>
      </c>
      <c r="O1776" s="1">
        <v>46197.828877314816</v>
      </c>
    </row>
    <row r="1777" spans="1:15" x14ac:dyDescent="0.25">
      <c r="A1777">
        <v>1853310547</v>
      </c>
      <c r="B1777" t="s">
        <v>973</v>
      </c>
      <c r="G1777">
        <v>41</v>
      </c>
      <c r="H1777" t="s">
        <v>29</v>
      </c>
      <c r="I1777">
        <v>2250</v>
      </c>
      <c r="J1777">
        <v>2257.4</v>
      </c>
      <c r="L1777" t="s">
        <v>12</v>
      </c>
      <c r="M1777" t="b">
        <v>0</v>
      </c>
      <c r="O1777" s="1">
        <v>46197.828877314816</v>
      </c>
    </row>
    <row r="1778" spans="1:15" x14ac:dyDescent="0.25">
      <c r="A1778">
        <v>-907678056</v>
      </c>
      <c r="B1778" t="s">
        <v>973</v>
      </c>
      <c r="G1778">
        <v>35</v>
      </c>
      <c r="H1778" t="s">
        <v>36</v>
      </c>
      <c r="I1778">
        <v>75</v>
      </c>
      <c r="J1778">
        <v>75.2</v>
      </c>
      <c r="L1778" t="s">
        <v>12</v>
      </c>
      <c r="M1778" t="b">
        <v>0</v>
      </c>
      <c r="O1778" s="1">
        <v>46197.828877314816</v>
      </c>
    </row>
    <row r="1779" spans="1:15" x14ac:dyDescent="0.25">
      <c r="A1779">
        <v>-1077444423</v>
      </c>
      <c r="B1779" t="s">
        <v>973</v>
      </c>
      <c r="G1779">
        <v>59</v>
      </c>
      <c r="H1779" t="s">
        <v>31</v>
      </c>
      <c r="I1779">
        <v>125</v>
      </c>
      <c r="J1779">
        <v>126.1</v>
      </c>
      <c r="L1779" t="s">
        <v>12</v>
      </c>
      <c r="M1779" t="b">
        <v>0</v>
      </c>
      <c r="O1779" s="1">
        <v>46197.828877314816</v>
      </c>
    </row>
    <row r="1780" spans="1:15" x14ac:dyDescent="0.25">
      <c r="A1780">
        <v>-1388021621</v>
      </c>
      <c r="B1780" t="s">
        <v>975</v>
      </c>
      <c r="C1780" t="s">
        <v>746</v>
      </c>
      <c r="D1780" t="s">
        <v>343</v>
      </c>
      <c r="E1780" t="s">
        <v>313</v>
      </c>
      <c r="F1780">
        <v>250</v>
      </c>
      <c r="K1780" s="1">
        <v>46197.843518518515</v>
      </c>
      <c r="M1780" t="b">
        <v>0</v>
      </c>
      <c r="O1780" s="1">
        <v>46197.843518518515</v>
      </c>
    </row>
    <row r="1781" spans="1:15" x14ac:dyDescent="0.25">
      <c r="A1781">
        <v>-1525280144</v>
      </c>
      <c r="B1781" t="s">
        <v>975</v>
      </c>
      <c r="G1781">
        <v>41</v>
      </c>
      <c r="H1781" t="s">
        <v>29</v>
      </c>
      <c r="I1781">
        <v>3270</v>
      </c>
      <c r="J1781">
        <v>3265.1</v>
      </c>
      <c r="L1781" t="s">
        <v>12</v>
      </c>
      <c r="M1781" t="b">
        <v>0</v>
      </c>
      <c r="O1781" s="1">
        <v>46197.843518518515</v>
      </c>
    </row>
    <row r="1782" spans="1:15" x14ac:dyDescent="0.25">
      <c r="A1782">
        <v>1165090225</v>
      </c>
      <c r="B1782" t="s">
        <v>975</v>
      </c>
      <c r="G1782">
        <v>35</v>
      </c>
      <c r="H1782" t="s">
        <v>36</v>
      </c>
      <c r="I1782">
        <v>1700</v>
      </c>
      <c r="J1782">
        <v>1711.6</v>
      </c>
      <c r="L1782" t="s">
        <v>12</v>
      </c>
      <c r="M1782" t="b">
        <v>0</v>
      </c>
      <c r="O1782" s="1">
        <v>46197.843518518515</v>
      </c>
    </row>
    <row r="1783" spans="1:15" x14ac:dyDescent="0.25">
      <c r="A1783">
        <v>963706398</v>
      </c>
      <c r="B1783" t="s">
        <v>975</v>
      </c>
      <c r="G1783">
        <v>44</v>
      </c>
      <c r="H1783" t="s">
        <v>16</v>
      </c>
      <c r="I1783">
        <v>187.5</v>
      </c>
      <c r="J1783">
        <v>187.1</v>
      </c>
      <c r="L1783" t="s">
        <v>12</v>
      </c>
      <c r="M1783" t="b">
        <v>0</v>
      </c>
      <c r="O1783" s="1">
        <v>46197.843518518515</v>
      </c>
    </row>
    <row r="1784" spans="1:15" x14ac:dyDescent="0.25">
      <c r="A1784">
        <v>246128455</v>
      </c>
      <c r="B1784" t="s">
        <v>976</v>
      </c>
      <c r="C1784" t="s">
        <v>382</v>
      </c>
      <c r="D1784" t="s">
        <v>380</v>
      </c>
      <c r="E1784" t="s">
        <v>313</v>
      </c>
      <c r="F1784">
        <v>120</v>
      </c>
      <c r="K1784" s="1">
        <v>46197.846932870372</v>
      </c>
      <c r="M1784" t="b">
        <v>0</v>
      </c>
      <c r="O1784" s="1">
        <v>46197.846932870372</v>
      </c>
    </row>
    <row r="1785" spans="1:15" x14ac:dyDescent="0.25">
      <c r="A1785">
        <v>1946470780</v>
      </c>
      <c r="B1785" t="s">
        <v>976</v>
      </c>
      <c r="G1785">
        <v>41</v>
      </c>
      <c r="H1785" t="s">
        <v>29</v>
      </c>
      <c r="I1785">
        <v>780</v>
      </c>
      <c r="J1785">
        <v>779.2</v>
      </c>
      <c r="L1785" t="s">
        <v>12</v>
      </c>
      <c r="M1785" t="b">
        <v>0</v>
      </c>
      <c r="O1785" s="1">
        <v>46197.846932870372</v>
      </c>
    </row>
    <row r="1786" spans="1:15" x14ac:dyDescent="0.25">
      <c r="A1786">
        <v>-1529031987</v>
      </c>
      <c r="B1786" t="s">
        <v>976</v>
      </c>
      <c r="G1786">
        <v>35</v>
      </c>
      <c r="H1786" t="s">
        <v>36</v>
      </c>
      <c r="I1786">
        <v>21.6</v>
      </c>
      <c r="J1786">
        <v>21.6</v>
      </c>
      <c r="L1786" t="s">
        <v>12</v>
      </c>
      <c r="M1786" t="b">
        <v>0</v>
      </c>
      <c r="O1786" s="1">
        <v>46197.846932870372</v>
      </c>
    </row>
    <row r="1787" spans="1:15" x14ac:dyDescent="0.25">
      <c r="A1787">
        <v>-764068854</v>
      </c>
      <c r="B1787" t="s">
        <v>976</v>
      </c>
      <c r="G1787">
        <v>16</v>
      </c>
      <c r="H1787" t="s">
        <v>13</v>
      </c>
      <c r="I1787">
        <v>36</v>
      </c>
      <c r="J1787">
        <v>36.1</v>
      </c>
      <c r="L1787" t="s">
        <v>12</v>
      </c>
      <c r="M1787" t="b">
        <v>0</v>
      </c>
      <c r="O1787" s="1">
        <v>46197.846932870372</v>
      </c>
    </row>
    <row r="1788" spans="1:15" x14ac:dyDescent="0.25">
      <c r="A1788">
        <v>-648739541</v>
      </c>
      <c r="B1788" t="s">
        <v>977</v>
      </c>
      <c r="C1788" t="s">
        <v>969</v>
      </c>
      <c r="D1788" t="s">
        <v>218</v>
      </c>
      <c r="E1788" t="s">
        <v>336</v>
      </c>
      <c r="F1788">
        <v>50</v>
      </c>
      <c r="K1788" s="1">
        <v>46198.119120370371</v>
      </c>
      <c r="M1788" t="b">
        <v>0</v>
      </c>
      <c r="O1788" s="1">
        <v>46198.119120370371</v>
      </c>
    </row>
    <row r="1789" spans="1:15" x14ac:dyDescent="0.25">
      <c r="A1789">
        <v>1247185552</v>
      </c>
      <c r="B1789" t="s">
        <v>977</v>
      </c>
      <c r="G1789">
        <v>41</v>
      </c>
      <c r="H1789" t="s">
        <v>29</v>
      </c>
      <c r="I1789">
        <v>1470.5</v>
      </c>
      <c r="J1789">
        <v>316.3</v>
      </c>
      <c r="L1789" t="s">
        <v>15</v>
      </c>
      <c r="M1789" t="b">
        <v>0</v>
      </c>
      <c r="O1789" s="1">
        <v>46198.119120370371</v>
      </c>
    </row>
    <row r="1790" spans="1:15" x14ac:dyDescent="0.25">
      <c r="A1790">
        <v>-1514947759</v>
      </c>
      <c r="B1790" t="s">
        <v>977</v>
      </c>
      <c r="G1790">
        <v>35</v>
      </c>
      <c r="H1790" t="s">
        <v>36</v>
      </c>
      <c r="I1790">
        <v>128</v>
      </c>
      <c r="J1790">
        <v>127.9</v>
      </c>
      <c r="L1790" t="s">
        <v>12</v>
      </c>
      <c r="M1790" t="b">
        <v>0</v>
      </c>
      <c r="O1790" s="1">
        <v>46198.119120370371</v>
      </c>
    </row>
    <row r="1791" spans="1:15" x14ac:dyDescent="0.25">
      <c r="A1791">
        <v>-1709001922</v>
      </c>
      <c r="B1791" t="s">
        <v>977</v>
      </c>
      <c r="G1791">
        <v>11</v>
      </c>
      <c r="H1791" t="s">
        <v>33</v>
      </c>
      <c r="I1791">
        <v>19.5</v>
      </c>
      <c r="J1791">
        <v>19.7</v>
      </c>
      <c r="L1791" t="s">
        <v>15</v>
      </c>
      <c r="M1791" t="b">
        <v>0</v>
      </c>
      <c r="O1791" s="1">
        <v>46198.119120370371</v>
      </c>
    </row>
    <row r="1792" spans="1:15" x14ac:dyDescent="0.25">
      <c r="A1792">
        <v>1587754471</v>
      </c>
      <c r="B1792" t="s">
        <v>978</v>
      </c>
      <c r="C1792" t="s">
        <v>746</v>
      </c>
      <c r="D1792" t="s">
        <v>343</v>
      </c>
      <c r="E1792" t="s">
        <v>313</v>
      </c>
      <c r="F1792">
        <v>250</v>
      </c>
      <c r="K1792" s="1">
        <v>46198.123263888891</v>
      </c>
      <c r="M1792" t="b">
        <v>0</v>
      </c>
      <c r="O1792" s="1">
        <v>46198.123263888891</v>
      </c>
    </row>
    <row r="1793" spans="1:15" x14ac:dyDescent="0.25">
      <c r="A1793">
        <v>2078147484</v>
      </c>
      <c r="B1793" t="s">
        <v>978</v>
      </c>
      <c r="G1793">
        <v>41</v>
      </c>
      <c r="H1793" t="s">
        <v>29</v>
      </c>
      <c r="I1793">
        <v>5000</v>
      </c>
      <c r="J1793">
        <v>5002.7</v>
      </c>
      <c r="L1793" t="s">
        <v>12</v>
      </c>
      <c r="M1793" t="b">
        <v>0</v>
      </c>
      <c r="O1793" s="1">
        <v>46198.123263888891</v>
      </c>
    </row>
    <row r="1794" spans="1:15" x14ac:dyDescent="0.25">
      <c r="A1794">
        <v>407161453</v>
      </c>
      <c r="B1794" t="s">
        <v>978</v>
      </c>
      <c r="G1794">
        <v>35</v>
      </c>
      <c r="H1794" t="s">
        <v>36</v>
      </c>
      <c r="I1794">
        <v>500</v>
      </c>
      <c r="J1794">
        <v>505</v>
      </c>
      <c r="L1794" t="s">
        <v>12</v>
      </c>
      <c r="M1794" t="b">
        <v>0</v>
      </c>
      <c r="O1794" s="1">
        <v>46198.123263888891</v>
      </c>
    </row>
    <row r="1795" spans="1:15" x14ac:dyDescent="0.25">
      <c r="A1795">
        <v>1278575402</v>
      </c>
      <c r="B1795" t="s">
        <v>978</v>
      </c>
      <c r="G1795">
        <v>44</v>
      </c>
      <c r="H1795" t="s">
        <v>16</v>
      </c>
      <c r="I1795">
        <v>300</v>
      </c>
      <c r="J1795">
        <v>300.2</v>
      </c>
      <c r="L1795" t="s">
        <v>12</v>
      </c>
      <c r="M1795" t="b">
        <v>0</v>
      </c>
      <c r="O1795" s="1">
        <v>46198.123263888891</v>
      </c>
    </row>
    <row r="1796" spans="1:15" x14ac:dyDescent="0.25">
      <c r="A1796">
        <v>1303483200</v>
      </c>
      <c r="B1796" t="s">
        <v>979</v>
      </c>
      <c r="C1796" t="s">
        <v>965</v>
      </c>
      <c r="D1796" t="s">
        <v>966</v>
      </c>
      <c r="E1796" t="s">
        <v>313</v>
      </c>
      <c r="F1796">
        <v>50</v>
      </c>
      <c r="K1796" s="1">
        <v>46198.141076388885</v>
      </c>
      <c r="M1796" t="b">
        <v>0</v>
      </c>
      <c r="O1796" s="1">
        <v>46198.141076388885</v>
      </c>
    </row>
    <row r="1797" spans="1:15" x14ac:dyDescent="0.25">
      <c r="A1797">
        <v>-1031642559</v>
      </c>
      <c r="B1797" t="s">
        <v>979</v>
      </c>
      <c r="G1797">
        <v>41</v>
      </c>
      <c r="H1797" t="s">
        <v>29</v>
      </c>
      <c r="I1797">
        <v>250</v>
      </c>
      <c r="J1797">
        <v>250.4</v>
      </c>
      <c r="L1797" t="s">
        <v>12</v>
      </c>
      <c r="M1797" t="b">
        <v>0</v>
      </c>
      <c r="O1797" s="1">
        <v>46198.141076388885</v>
      </c>
    </row>
    <row r="1798" spans="1:15" x14ac:dyDescent="0.25">
      <c r="A1798">
        <v>1618062190</v>
      </c>
      <c r="B1798" t="s">
        <v>979</v>
      </c>
      <c r="G1798">
        <v>35</v>
      </c>
      <c r="H1798" t="s">
        <v>36</v>
      </c>
      <c r="I1798">
        <v>60.5</v>
      </c>
      <c r="J1798">
        <v>60.2</v>
      </c>
      <c r="L1798" t="s">
        <v>12</v>
      </c>
      <c r="M1798" t="b">
        <v>0</v>
      </c>
      <c r="O1798" s="1">
        <v>46198.141076388885</v>
      </c>
    </row>
    <row r="1799" spans="1:15" x14ac:dyDescent="0.25">
      <c r="A1799">
        <v>1233122903</v>
      </c>
      <c r="B1799" t="s">
        <v>980</v>
      </c>
      <c r="C1799" t="s">
        <v>797</v>
      </c>
      <c r="D1799" t="s">
        <v>981</v>
      </c>
      <c r="E1799" t="s">
        <v>313</v>
      </c>
      <c r="F1799">
        <v>50</v>
      </c>
      <c r="K1799" s="1">
        <v>46198.148449074077</v>
      </c>
      <c r="M1799" t="b">
        <v>0</v>
      </c>
      <c r="O1799" s="1">
        <v>46198.148449074077</v>
      </c>
    </row>
    <row r="1800" spans="1:15" x14ac:dyDescent="0.25">
      <c r="A1800">
        <v>93353804</v>
      </c>
      <c r="B1800" t="s">
        <v>980</v>
      </c>
      <c r="G1800">
        <v>41</v>
      </c>
      <c r="H1800" t="s">
        <v>29</v>
      </c>
      <c r="I1800">
        <v>223</v>
      </c>
      <c r="J1800">
        <v>222.3</v>
      </c>
      <c r="L1800" t="s">
        <v>12</v>
      </c>
      <c r="M1800" t="b">
        <v>0</v>
      </c>
      <c r="O1800" s="1">
        <v>46198.148449074077</v>
      </c>
    </row>
    <row r="1801" spans="1:15" x14ac:dyDescent="0.25">
      <c r="A1801">
        <v>479412317</v>
      </c>
      <c r="B1801" t="s">
        <v>980</v>
      </c>
      <c r="G1801">
        <v>35</v>
      </c>
      <c r="H1801" t="s">
        <v>36</v>
      </c>
      <c r="I1801">
        <v>20</v>
      </c>
      <c r="J1801">
        <v>20.6</v>
      </c>
      <c r="L1801" t="s">
        <v>15</v>
      </c>
      <c r="M1801" t="b">
        <v>0</v>
      </c>
      <c r="O1801" s="1">
        <v>46198.148449074077</v>
      </c>
    </row>
    <row r="1802" spans="1:15" x14ac:dyDescent="0.25">
      <c r="A1802">
        <v>1475731034</v>
      </c>
      <c r="B1802" t="s">
        <v>980</v>
      </c>
      <c r="G1802">
        <v>44</v>
      </c>
      <c r="H1802" t="s">
        <v>16</v>
      </c>
      <c r="I1802">
        <v>7.25</v>
      </c>
      <c r="J1802">
        <v>7.5</v>
      </c>
      <c r="L1802" t="s">
        <v>15</v>
      </c>
      <c r="M1802" t="b">
        <v>0</v>
      </c>
      <c r="O1802" s="1">
        <v>46198.148449074077</v>
      </c>
    </row>
    <row r="1803" spans="1:15" x14ac:dyDescent="0.25">
      <c r="A1803">
        <v>185693604</v>
      </c>
      <c r="B1803" t="s">
        <v>982</v>
      </c>
      <c r="C1803" t="s">
        <v>972</v>
      </c>
      <c r="D1803" t="s">
        <v>218</v>
      </c>
      <c r="E1803" t="s">
        <v>336</v>
      </c>
      <c r="F1803">
        <v>50</v>
      </c>
      <c r="K1803" s="1">
        <v>46198.172986111109</v>
      </c>
      <c r="M1803" t="b">
        <v>0</v>
      </c>
      <c r="O1803" s="1">
        <v>46198.172986111109</v>
      </c>
    </row>
    <row r="1804" spans="1:15" x14ac:dyDescent="0.25">
      <c r="A1804">
        <v>-691862059</v>
      </c>
      <c r="B1804" t="s">
        <v>982</v>
      </c>
      <c r="G1804">
        <v>41</v>
      </c>
      <c r="H1804" t="s">
        <v>29</v>
      </c>
      <c r="I1804">
        <v>1500</v>
      </c>
      <c r="J1804">
        <v>1505.7</v>
      </c>
      <c r="L1804" t="s">
        <v>12</v>
      </c>
      <c r="M1804" t="b">
        <v>0</v>
      </c>
      <c r="O1804" s="1">
        <v>46198.172986111109</v>
      </c>
    </row>
    <row r="1805" spans="1:15" x14ac:dyDescent="0.25">
      <c r="A1805">
        <v>63267954</v>
      </c>
      <c r="B1805" t="s">
        <v>982</v>
      </c>
      <c r="G1805">
        <v>35</v>
      </c>
      <c r="H1805" t="s">
        <v>36</v>
      </c>
      <c r="I1805">
        <v>200</v>
      </c>
      <c r="J1805">
        <v>198.7</v>
      </c>
      <c r="L1805" t="s">
        <v>12</v>
      </c>
      <c r="M1805" t="b">
        <v>0</v>
      </c>
      <c r="O1805" s="1">
        <v>46198.172986111109</v>
      </c>
    </row>
    <row r="1806" spans="1:15" x14ac:dyDescent="0.25">
      <c r="A1806">
        <v>1685132299</v>
      </c>
      <c r="B1806" t="s">
        <v>982</v>
      </c>
      <c r="G1806">
        <v>11</v>
      </c>
      <c r="H1806" t="s">
        <v>33</v>
      </c>
      <c r="I1806">
        <v>100</v>
      </c>
      <c r="J1806">
        <v>102.1</v>
      </c>
      <c r="L1806" t="s">
        <v>15</v>
      </c>
      <c r="M1806" t="b">
        <v>0</v>
      </c>
      <c r="O1806" s="1">
        <v>46198.172986111109</v>
      </c>
    </row>
    <row r="1807" spans="1:15" x14ac:dyDescent="0.25">
      <c r="A1807">
        <v>837686595</v>
      </c>
      <c r="B1807" t="s">
        <v>983</v>
      </c>
      <c r="C1807" t="s">
        <v>406</v>
      </c>
      <c r="D1807" t="s">
        <v>407</v>
      </c>
      <c r="E1807" t="s">
        <v>336</v>
      </c>
      <c r="F1807">
        <v>50</v>
      </c>
      <c r="K1807" s="1">
        <v>46198.219166666669</v>
      </c>
      <c r="M1807" t="b">
        <v>0</v>
      </c>
      <c r="O1807" s="1">
        <v>46198.219166666669</v>
      </c>
    </row>
    <row r="1808" spans="1:15" x14ac:dyDescent="0.25">
      <c r="A1808">
        <v>-273420600</v>
      </c>
      <c r="B1808" t="s">
        <v>983</v>
      </c>
      <c r="G1808">
        <v>41</v>
      </c>
      <c r="H1808" t="s">
        <v>29</v>
      </c>
      <c r="I1808">
        <v>217.5</v>
      </c>
      <c r="J1808">
        <v>216.6</v>
      </c>
      <c r="L1808" t="s">
        <v>12</v>
      </c>
      <c r="M1808" t="b">
        <v>0</v>
      </c>
      <c r="O1808" s="1">
        <v>46198.219166666669</v>
      </c>
    </row>
    <row r="1809" spans="1:15" x14ac:dyDescent="0.25">
      <c r="A1809">
        <v>-1792497367</v>
      </c>
      <c r="B1809" t="s">
        <v>983</v>
      </c>
      <c r="G1809">
        <v>58</v>
      </c>
      <c r="H1809" t="s">
        <v>32</v>
      </c>
      <c r="I1809">
        <v>325</v>
      </c>
      <c r="J1809">
        <v>322.60000000000002</v>
      </c>
      <c r="L1809" t="s">
        <v>12</v>
      </c>
      <c r="M1809" t="b">
        <v>0</v>
      </c>
      <c r="O1809" s="1">
        <v>46198.219166666669</v>
      </c>
    </row>
    <row r="1810" spans="1:15" x14ac:dyDescent="0.25">
      <c r="A1810">
        <v>-44002762</v>
      </c>
      <c r="B1810" t="s">
        <v>983</v>
      </c>
      <c r="G1810">
        <v>35</v>
      </c>
      <c r="H1810" t="s">
        <v>36</v>
      </c>
      <c r="I1810">
        <v>83.75</v>
      </c>
      <c r="J1810">
        <v>83.1</v>
      </c>
      <c r="L1810" t="s">
        <v>12</v>
      </c>
      <c r="M1810" t="b">
        <v>0</v>
      </c>
      <c r="O1810" s="1">
        <v>46198.219166666669</v>
      </c>
    </row>
    <row r="1811" spans="1:15" x14ac:dyDescent="0.25">
      <c r="A1811">
        <v>1289107327</v>
      </c>
      <c r="B1811" t="s">
        <v>983</v>
      </c>
      <c r="G1811">
        <v>16</v>
      </c>
      <c r="H1811" t="s">
        <v>13</v>
      </c>
      <c r="I1811">
        <v>41</v>
      </c>
      <c r="J1811">
        <v>40.6</v>
      </c>
      <c r="L1811" t="s">
        <v>12</v>
      </c>
      <c r="M1811" t="b">
        <v>0</v>
      </c>
      <c r="O1811" s="1">
        <v>46198.219166666669</v>
      </c>
    </row>
    <row r="1812" spans="1:15" x14ac:dyDescent="0.25">
      <c r="A1812">
        <v>-1673274540</v>
      </c>
      <c r="B1812" t="s">
        <v>983</v>
      </c>
      <c r="G1812">
        <v>59</v>
      </c>
      <c r="H1812" t="s">
        <v>31</v>
      </c>
      <c r="I1812">
        <v>31</v>
      </c>
      <c r="J1812">
        <v>31.1</v>
      </c>
      <c r="L1812" t="s">
        <v>12</v>
      </c>
      <c r="M1812" t="b">
        <v>0</v>
      </c>
      <c r="O1812" s="1">
        <v>46198.219166666669</v>
      </c>
    </row>
    <row r="1813" spans="1:15" x14ac:dyDescent="0.25">
      <c r="A1813">
        <v>490997920</v>
      </c>
      <c r="B1813" t="s">
        <v>984</v>
      </c>
      <c r="C1813" t="s">
        <v>972</v>
      </c>
      <c r="D1813" t="s">
        <v>218</v>
      </c>
      <c r="E1813" t="s">
        <v>336</v>
      </c>
      <c r="F1813">
        <v>50</v>
      </c>
      <c r="K1813" s="1">
        <v>46198.22550925926</v>
      </c>
      <c r="M1813" t="b">
        <v>0</v>
      </c>
      <c r="O1813" s="1">
        <v>46198.22550925926</v>
      </c>
    </row>
    <row r="1814" spans="1:15" x14ac:dyDescent="0.25">
      <c r="A1814">
        <v>1286947873</v>
      </c>
      <c r="B1814" t="s">
        <v>984</v>
      </c>
      <c r="G1814">
        <v>41</v>
      </c>
      <c r="H1814" t="s">
        <v>29</v>
      </c>
      <c r="I1814">
        <v>2000</v>
      </c>
      <c r="J1814">
        <v>1992.3</v>
      </c>
      <c r="L1814" t="s">
        <v>12</v>
      </c>
      <c r="M1814" t="b">
        <v>0</v>
      </c>
      <c r="O1814" s="1">
        <v>46198.22550925926</v>
      </c>
    </row>
    <row r="1815" spans="1:15" x14ac:dyDescent="0.25">
      <c r="A1815">
        <v>2052235214</v>
      </c>
      <c r="B1815" t="s">
        <v>984</v>
      </c>
      <c r="G1815">
        <v>35</v>
      </c>
      <c r="H1815" t="s">
        <v>36</v>
      </c>
      <c r="I1815">
        <v>180</v>
      </c>
      <c r="J1815">
        <v>180.7</v>
      </c>
      <c r="L1815" t="s">
        <v>12</v>
      </c>
      <c r="M1815" t="b">
        <v>0</v>
      </c>
      <c r="O1815" s="1">
        <v>46198.22550925926</v>
      </c>
    </row>
    <row r="1816" spans="1:15" x14ac:dyDescent="0.25">
      <c r="A1816">
        <v>697903927</v>
      </c>
      <c r="B1816" t="s">
        <v>984</v>
      </c>
      <c r="G1816">
        <v>11</v>
      </c>
      <c r="H1816" t="s">
        <v>33</v>
      </c>
      <c r="I1816">
        <v>100</v>
      </c>
      <c r="J1816">
        <v>100.5</v>
      </c>
      <c r="L1816" t="s">
        <v>12</v>
      </c>
      <c r="M1816" t="b">
        <v>0</v>
      </c>
      <c r="O1816" s="1">
        <v>46198.22550925926</v>
      </c>
    </row>
    <row r="1817" spans="1:15" x14ac:dyDescent="0.25">
      <c r="A1817">
        <v>881228547</v>
      </c>
      <c r="B1817" t="s">
        <v>985</v>
      </c>
      <c r="C1817" t="s">
        <v>379</v>
      </c>
      <c r="D1817" t="s">
        <v>647</v>
      </c>
      <c r="E1817" t="s">
        <v>340</v>
      </c>
      <c r="F1817">
        <v>120</v>
      </c>
      <c r="K1817" s="1">
        <v>46198.373726851853</v>
      </c>
      <c r="M1817" t="b">
        <v>0</v>
      </c>
      <c r="O1817" s="1">
        <v>46198.373726851853</v>
      </c>
    </row>
    <row r="1818" spans="1:15" x14ac:dyDescent="0.25">
      <c r="A1818">
        <v>-1551992</v>
      </c>
      <c r="B1818" t="s">
        <v>985</v>
      </c>
      <c r="G1818">
        <v>41</v>
      </c>
      <c r="H1818" t="s">
        <v>29</v>
      </c>
      <c r="I1818">
        <v>600</v>
      </c>
      <c r="J1818">
        <v>602.5</v>
      </c>
      <c r="L1818" t="s">
        <v>12</v>
      </c>
      <c r="M1818" t="b">
        <v>0</v>
      </c>
      <c r="O1818" s="1">
        <v>46198.373726851853</v>
      </c>
    </row>
    <row r="1819" spans="1:15" x14ac:dyDescent="0.25">
      <c r="A1819">
        <v>-1580210286</v>
      </c>
      <c r="B1819" t="s">
        <v>986</v>
      </c>
      <c r="C1819" t="s">
        <v>424</v>
      </c>
      <c r="D1819" t="s">
        <v>685</v>
      </c>
      <c r="E1819" t="s">
        <v>340</v>
      </c>
      <c r="F1819">
        <v>450</v>
      </c>
      <c r="K1819" s="1">
        <v>46198.426805555559</v>
      </c>
      <c r="M1819" t="b">
        <v>0</v>
      </c>
      <c r="O1819" s="1">
        <v>46198.426805555559</v>
      </c>
    </row>
    <row r="1820" spans="1:15" x14ac:dyDescent="0.25">
      <c r="A1820">
        <v>-971448149</v>
      </c>
      <c r="B1820" t="s">
        <v>986</v>
      </c>
      <c r="G1820">
        <v>41</v>
      </c>
      <c r="H1820" t="s">
        <v>29</v>
      </c>
      <c r="I1820">
        <v>6525</v>
      </c>
      <c r="J1820">
        <v>6529.9</v>
      </c>
      <c r="L1820" t="s">
        <v>12</v>
      </c>
      <c r="M1820" t="b">
        <v>0</v>
      </c>
      <c r="O1820" s="1">
        <v>46198.426805555559</v>
      </c>
    </row>
    <row r="1821" spans="1:15" x14ac:dyDescent="0.25">
      <c r="A1821">
        <v>1073291280</v>
      </c>
      <c r="B1821" t="s">
        <v>986</v>
      </c>
      <c r="G1821">
        <v>66</v>
      </c>
      <c r="H1821" t="s">
        <v>200</v>
      </c>
      <c r="I1821">
        <v>1350</v>
      </c>
      <c r="J1821">
        <v>1357.3</v>
      </c>
      <c r="L1821" t="s">
        <v>12</v>
      </c>
      <c r="M1821" t="b">
        <v>0</v>
      </c>
      <c r="O1821" s="1">
        <v>46198.426805555559</v>
      </c>
    </row>
    <row r="1822" spans="1:15" x14ac:dyDescent="0.25">
      <c r="A1822">
        <v>-979828015</v>
      </c>
      <c r="B1822" t="s">
        <v>986</v>
      </c>
      <c r="G1822">
        <v>16</v>
      </c>
      <c r="H1822" t="s">
        <v>13</v>
      </c>
      <c r="I1822">
        <v>585</v>
      </c>
      <c r="J1822">
        <v>584.70000000000005</v>
      </c>
      <c r="L1822" t="s">
        <v>12</v>
      </c>
      <c r="M1822" t="b">
        <v>0</v>
      </c>
      <c r="O1822" s="1">
        <v>46198.426805555559</v>
      </c>
    </row>
    <row r="1823" spans="1:15" x14ac:dyDescent="0.25">
      <c r="A1823">
        <v>-1954439853</v>
      </c>
      <c r="B1823" t="s">
        <v>987</v>
      </c>
      <c r="C1823" t="s">
        <v>712</v>
      </c>
      <c r="D1823" t="s">
        <v>440</v>
      </c>
      <c r="E1823" t="s">
        <v>313</v>
      </c>
      <c r="F1823">
        <v>350</v>
      </c>
      <c r="K1823" s="1">
        <v>46198.459120370368</v>
      </c>
      <c r="M1823" t="b">
        <v>0</v>
      </c>
      <c r="O1823" s="1">
        <v>46198.459120370368</v>
      </c>
    </row>
    <row r="1824" spans="1:15" x14ac:dyDescent="0.25">
      <c r="A1824">
        <v>-287229544</v>
      </c>
      <c r="B1824" t="s">
        <v>987</v>
      </c>
      <c r="G1824">
        <v>41</v>
      </c>
      <c r="H1824" t="s">
        <v>29</v>
      </c>
      <c r="I1824">
        <v>3230.5</v>
      </c>
      <c r="J1824">
        <v>3229.6</v>
      </c>
      <c r="L1824" t="s">
        <v>12</v>
      </c>
      <c r="M1824" t="b">
        <v>0</v>
      </c>
      <c r="O1824" s="1">
        <v>46198.459120370368</v>
      </c>
    </row>
    <row r="1825" spans="1:15" x14ac:dyDescent="0.25">
      <c r="A1825">
        <v>-984240199</v>
      </c>
      <c r="B1825" t="s">
        <v>987</v>
      </c>
      <c r="G1825">
        <v>16</v>
      </c>
      <c r="H1825" t="s">
        <v>13</v>
      </c>
      <c r="I1825">
        <v>808.5</v>
      </c>
      <c r="J1825">
        <v>808</v>
      </c>
      <c r="L1825" t="s">
        <v>12</v>
      </c>
      <c r="M1825" t="b">
        <v>0</v>
      </c>
      <c r="O1825" s="1">
        <v>46198.459120370368</v>
      </c>
    </row>
    <row r="1826" spans="1:15" x14ac:dyDescent="0.25">
      <c r="A1826">
        <v>-1120921210</v>
      </c>
      <c r="B1826" t="s">
        <v>987</v>
      </c>
      <c r="G1826">
        <v>35</v>
      </c>
      <c r="H1826" t="s">
        <v>36</v>
      </c>
      <c r="I1826">
        <v>193.55</v>
      </c>
      <c r="J1826">
        <v>194.7</v>
      </c>
      <c r="L1826" t="s">
        <v>12</v>
      </c>
      <c r="M1826" t="b">
        <v>0</v>
      </c>
      <c r="O1826" s="1">
        <v>46198.459120370368</v>
      </c>
    </row>
    <row r="1827" spans="1:15" x14ac:dyDescent="0.25">
      <c r="A1827">
        <v>-1416716093</v>
      </c>
      <c r="B1827" t="s">
        <v>988</v>
      </c>
      <c r="C1827" t="s">
        <v>989</v>
      </c>
      <c r="D1827" t="s">
        <v>966</v>
      </c>
      <c r="E1827" t="s">
        <v>313</v>
      </c>
      <c r="F1827">
        <v>250</v>
      </c>
      <c r="K1827" s="1">
        <v>46198.523518518516</v>
      </c>
      <c r="M1827" t="b">
        <v>0</v>
      </c>
      <c r="O1827" s="1">
        <v>46198.523518518516</v>
      </c>
    </row>
    <row r="1828" spans="1:15" x14ac:dyDescent="0.25">
      <c r="A1828">
        <v>-297700280</v>
      </c>
      <c r="B1828" t="s">
        <v>988</v>
      </c>
      <c r="G1828">
        <v>41</v>
      </c>
      <c r="H1828" t="s">
        <v>29</v>
      </c>
      <c r="I1828">
        <v>1545</v>
      </c>
      <c r="J1828">
        <v>1547.4</v>
      </c>
      <c r="L1828" t="s">
        <v>12</v>
      </c>
      <c r="M1828" t="b">
        <v>0</v>
      </c>
      <c r="O1828" s="1">
        <v>46198.523518518516</v>
      </c>
    </row>
    <row r="1829" spans="1:15" x14ac:dyDescent="0.25">
      <c r="A1829">
        <v>1509564585</v>
      </c>
      <c r="B1829" t="s">
        <v>988</v>
      </c>
      <c r="G1829">
        <v>4</v>
      </c>
      <c r="H1829" t="s">
        <v>27</v>
      </c>
      <c r="I1829">
        <v>50.5</v>
      </c>
      <c r="J1829">
        <v>50.2</v>
      </c>
      <c r="L1829" t="s">
        <v>12</v>
      </c>
      <c r="M1829" t="b">
        <v>0</v>
      </c>
      <c r="O1829" s="1">
        <v>46198.523518518516</v>
      </c>
    </row>
    <row r="1830" spans="1:15" x14ac:dyDescent="0.25">
      <c r="A1830">
        <v>663720886</v>
      </c>
      <c r="B1830" t="s">
        <v>988</v>
      </c>
      <c r="G1830">
        <v>11</v>
      </c>
      <c r="H1830" t="s">
        <v>33</v>
      </c>
      <c r="I1830">
        <v>34.75</v>
      </c>
      <c r="J1830">
        <v>34.6</v>
      </c>
      <c r="L1830" t="s">
        <v>12</v>
      </c>
      <c r="M1830" t="b">
        <v>0</v>
      </c>
      <c r="O1830" s="1">
        <v>46198.523518518516</v>
      </c>
    </row>
    <row r="1831" spans="1:15" x14ac:dyDescent="0.25">
      <c r="A1831">
        <v>-764249345</v>
      </c>
      <c r="B1831" t="s">
        <v>988</v>
      </c>
      <c r="G1831">
        <v>68</v>
      </c>
      <c r="H1831" t="s">
        <v>14</v>
      </c>
      <c r="I1831">
        <v>54.75</v>
      </c>
      <c r="J1831">
        <v>54.6</v>
      </c>
      <c r="L1831" t="s">
        <v>12</v>
      </c>
      <c r="M1831" t="b">
        <v>0</v>
      </c>
      <c r="O1831" s="1">
        <v>46198.523518518516</v>
      </c>
    </row>
    <row r="1832" spans="1:15" x14ac:dyDescent="0.25">
      <c r="A1832">
        <v>1860381601</v>
      </c>
      <c r="B1832" t="s">
        <v>990</v>
      </c>
      <c r="C1832" t="s">
        <v>430</v>
      </c>
      <c r="D1832" t="s">
        <v>500</v>
      </c>
      <c r="E1832" t="s">
        <v>336</v>
      </c>
      <c r="F1832">
        <v>50</v>
      </c>
      <c r="K1832" s="1">
        <v>46198.538032407407</v>
      </c>
      <c r="M1832" t="b">
        <v>0</v>
      </c>
      <c r="O1832" s="1">
        <v>46198.538032407407</v>
      </c>
    </row>
    <row r="1833" spans="1:15" x14ac:dyDescent="0.25">
      <c r="A1833">
        <v>442585422</v>
      </c>
      <c r="B1833" t="s">
        <v>990</v>
      </c>
      <c r="G1833">
        <v>41</v>
      </c>
      <c r="H1833" t="s">
        <v>29</v>
      </c>
      <c r="I1833">
        <v>600</v>
      </c>
      <c r="J1833">
        <v>601.79999999999995</v>
      </c>
      <c r="L1833" t="s">
        <v>12</v>
      </c>
      <c r="M1833" t="b">
        <v>0</v>
      </c>
      <c r="O1833" s="1">
        <v>46198.538032407407</v>
      </c>
    </row>
    <row r="1834" spans="1:15" x14ac:dyDescent="0.25">
      <c r="A1834">
        <v>1604804279</v>
      </c>
      <c r="B1834" t="s">
        <v>990</v>
      </c>
      <c r="G1834">
        <v>35</v>
      </c>
      <c r="H1834" t="s">
        <v>36</v>
      </c>
      <c r="I1834">
        <v>93</v>
      </c>
      <c r="J1834">
        <v>93.7</v>
      </c>
      <c r="L1834" t="s">
        <v>12</v>
      </c>
      <c r="M1834" t="b">
        <v>0</v>
      </c>
      <c r="O1834" s="1">
        <v>46198.538032407407</v>
      </c>
    </row>
    <row r="1835" spans="1:15" x14ac:dyDescent="0.25">
      <c r="A1835">
        <v>-1975250900</v>
      </c>
      <c r="B1835" t="s">
        <v>990</v>
      </c>
      <c r="G1835">
        <v>44</v>
      </c>
      <c r="H1835" t="s">
        <v>16</v>
      </c>
      <c r="I1835">
        <v>37</v>
      </c>
      <c r="J1835">
        <v>37.200000000000003</v>
      </c>
      <c r="L1835" t="s">
        <v>12</v>
      </c>
      <c r="M1835" t="b">
        <v>0</v>
      </c>
      <c r="O1835" s="1">
        <v>46198.538032407407</v>
      </c>
    </row>
    <row r="1836" spans="1:15" x14ac:dyDescent="0.25">
      <c r="A1836">
        <v>-1137437047</v>
      </c>
      <c r="B1836" t="s">
        <v>991</v>
      </c>
      <c r="C1836" t="s">
        <v>392</v>
      </c>
      <c r="D1836" t="s">
        <v>414</v>
      </c>
      <c r="E1836" t="s">
        <v>340</v>
      </c>
      <c r="F1836">
        <v>450</v>
      </c>
      <c r="K1836" s="1">
        <v>46198.597673611112</v>
      </c>
      <c r="M1836" t="b">
        <v>0</v>
      </c>
      <c r="O1836" s="1">
        <v>46198.597673611112</v>
      </c>
    </row>
    <row r="1837" spans="1:15" x14ac:dyDescent="0.25">
      <c r="A1837">
        <v>-1767437290</v>
      </c>
      <c r="B1837" t="s">
        <v>991</v>
      </c>
      <c r="G1837">
        <v>41</v>
      </c>
      <c r="H1837" t="s">
        <v>29</v>
      </c>
      <c r="I1837">
        <v>5625</v>
      </c>
      <c r="J1837">
        <v>5633.9</v>
      </c>
      <c r="L1837" t="s">
        <v>12</v>
      </c>
      <c r="M1837" t="b">
        <v>0</v>
      </c>
      <c r="O1837" s="1">
        <v>46198.597673611112</v>
      </c>
    </row>
    <row r="1838" spans="1:15" x14ac:dyDescent="0.25">
      <c r="A1838">
        <v>-1481055265</v>
      </c>
      <c r="B1838" t="s">
        <v>991</v>
      </c>
      <c r="G1838">
        <v>75</v>
      </c>
      <c r="H1838" t="s">
        <v>173</v>
      </c>
      <c r="I1838">
        <v>2169</v>
      </c>
      <c r="J1838">
        <v>2171.9</v>
      </c>
      <c r="L1838" t="s">
        <v>12</v>
      </c>
      <c r="M1838" t="b">
        <v>0</v>
      </c>
      <c r="O1838" s="1">
        <v>46198.597673611112</v>
      </c>
    </row>
    <row r="1839" spans="1:15" x14ac:dyDescent="0.25">
      <c r="A1839">
        <v>1962567732</v>
      </c>
      <c r="B1839" t="s">
        <v>991</v>
      </c>
      <c r="G1839">
        <v>27</v>
      </c>
      <c r="H1839" t="s">
        <v>143</v>
      </c>
      <c r="I1839">
        <v>1278</v>
      </c>
      <c r="J1839">
        <v>1278.8</v>
      </c>
      <c r="L1839" t="s">
        <v>12</v>
      </c>
      <c r="M1839" t="b">
        <v>0</v>
      </c>
      <c r="O1839" s="1">
        <v>46198.597673611112</v>
      </c>
    </row>
    <row r="1840" spans="1:15" x14ac:dyDescent="0.25">
      <c r="A1840">
        <v>-1834809051</v>
      </c>
      <c r="B1840" t="s">
        <v>991</v>
      </c>
      <c r="G1840">
        <v>40</v>
      </c>
      <c r="H1840" t="s">
        <v>127</v>
      </c>
      <c r="I1840">
        <v>1426.5</v>
      </c>
      <c r="J1840">
        <v>1426.1</v>
      </c>
      <c r="L1840" t="s">
        <v>12</v>
      </c>
      <c r="M1840" t="b">
        <v>0</v>
      </c>
      <c r="O1840" s="1">
        <v>46198.597673611112</v>
      </c>
    </row>
    <row r="1841" spans="1:15" x14ac:dyDescent="0.25">
      <c r="A1841">
        <v>-1860183678</v>
      </c>
      <c r="B1841" t="s">
        <v>991</v>
      </c>
      <c r="G1841">
        <v>35</v>
      </c>
      <c r="H1841" t="s">
        <v>36</v>
      </c>
      <c r="I1841">
        <v>731.25</v>
      </c>
      <c r="J1841">
        <v>733.4</v>
      </c>
      <c r="L1841" t="s">
        <v>12</v>
      </c>
      <c r="M1841" t="b">
        <v>0</v>
      </c>
      <c r="O1841" s="1">
        <v>46198.597673611112</v>
      </c>
    </row>
    <row r="1842" spans="1:15" x14ac:dyDescent="0.25">
      <c r="A1842">
        <v>-534228659</v>
      </c>
      <c r="B1842" t="s">
        <v>992</v>
      </c>
      <c r="C1842" t="s">
        <v>392</v>
      </c>
      <c r="D1842" t="s">
        <v>414</v>
      </c>
      <c r="E1842" t="s">
        <v>340</v>
      </c>
      <c r="F1842">
        <v>450</v>
      </c>
      <c r="K1842" s="1">
        <v>46198.885162037041</v>
      </c>
      <c r="M1842" t="b">
        <v>0</v>
      </c>
      <c r="O1842" s="1">
        <v>46198.885162037041</v>
      </c>
    </row>
    <row r="1843" spans="1:15" x14ac:dyDescent="0.25">
      <c r="A1843">
        <v>845248650</v>
      </c>
      <c r="B1843" t="s">
        <v>992</v>
      </c>
      <c r="G1843">
        <v>41</v>
      </c>
      <c r="H1843" t="s">
        <v>29</v>
      </c>
      <c r="I1843">
        <v>5625</v>
      </c>
      <c r="J1843">
        <v>5636.8</v>
      </c>
      <c r="L1843" t="s">
        <v>12</v>
      </c>
      <c r="M1843" t="b">
        <v>0</v>
      </c>
      <c r="O1843" s="1">
        <v>46198.885162037041</v>
      </c>
    </row>
    <row r="1844" spans="1:15" x14ac:dyDescent="0.25">
      <c r="A1844">
        <v>1575889987</v>
      </c>
      <c r="B1844" t="s">
        <v>992</v>
      </c>
      <c r="G1844">
        <v>75</v>
      </c>
      <c r="H1844" t="s">
        <v>173</v>
      </c>
      <c r="I1844">
        <v>2169</v>
      </c>
      <c r="J1844">
        <v>2168.1</v>
      </c>
      <c r="L1844" t="s">
        <v>12</v>
      </c>
      <c r="M1844" t="b">
        <v>0</v>
      </c>
      <c r="O1844" s="1">
        <v>46198.885162037041</v>
      </c>
    </row>
    <row r="1845" spans="1:15" x14ac:dyDescent="0.25">
      <c r="A1845">
        <v>-2141062712</v>
      </c>
      <c r="B1845" t="s">
        <v>992</v>
      </c>
      <c r="G1845">
        <v>27</v>
      </c>
      <c r="H1845" t="s">
        <v>143</v>
      </c>
      <c r="I1845">
        <v>1278</v>
      </c>
      <c r="J1845">
        <v>1280.2</v>
      </c>
      <c r="L1845" t="s">
        <v>12</v>
      </c>
      <c r="M1845" t="b">
        <v>0</v>
      </c>
      <c r="O1845" s="1">
        <v>46198.885162037041</v>
      </c>
    </row>
    <row r="1846" spans="1:15" x14ac:dyDescent="0.25">
      <c r="A1846">
        <v>564303913</v>
      </c>
      <c r="B1846" t="s">
        <v>992</v>
      </c>
      <c r="G1846">
        <v>40</v>
      </c>
      <c r="H1846" t="s">
        <v>127</v>
      </c>
      <c r="I1846">
        <v>1426.5</v>
      </c>
      <c r="J1846">
        <v>1436.7</v>
      </c>
      <c r="L1846" t="s">
        <v>12</v>
      </c>
      <c r="M1846" t="b">
        <v>0</v>
      </c>
      <c r="O1846" s="1">
        <v>46198.885162037041</v>
      </c>
    </row>
    <row r="1847" spans="1:15" x14ac:dyDescent="0.25">
      <c r="A1847">
        <v>-74869450</v>
      </c>
      <c r="B1847" t="s">
        <v>992</v>
      </c>
      <c r="G1847">
        <v>35</v>
      </c>
      <c r="H1847" t="s">
        <v>36</v>
      </c>
      <c r="I1847">
        <v>731.25</v>
      </c>
      <c r="J1847">
        <v>730.2</v>
      </c>
      <c r="L1847" t="s">
        <v>12</v>
      </c>
      <c r="M1847" t="b">
        <v>0</v>
      </c>
      <c r="O1847" s="1">
        <v>46198.885162037041</v>
      </c>
    </row>
    <row r="1848" spans="1:15" x14ac:dyDescent="0.25">
      <c r="A1848">
        <v>1645847828</v>
      </c>
      <c r="B1848" t="s">
        <v>993</v>
      </c>
      <c r="C1848" t="s">
        <v>974</v>
      </c>
      <c r="D1848" t="s">
        <v>603</v>
      </c>
      <c r="E1848" t="s">
        <v>336</v>
      </c>
      <c r="F1848">
        <v>250</v>
      </c>
      <c r="K1848" s="1">
        <v>46199.093969907408</v>
      </c>
      <c r="M1848" t="b">
        <v>0</v>
      </c>
      <c r="O1848" s="1">
        <v>46199.093969907408</v>
      </c>
    </row>
    <row r="1849" spans="1:15" x14ac:dyDescent="0.25">
      <c r="A1849">
        <v>701627525</v>
      </c>
      <c r="B1849" t="s">
        <v>993</v>
      </c>
      <c r="G1849">
        <v>41</v>
      </c>
      <c r="H1849" t="s">
        <v>29</v>
      </c>
      <c r="I1849">
        <v>2250</v>
      </c>
      <c r="J1849">
        <v>2251.6</v>
      </c>
      <c r="L1849" t="s">
        <v>12</v>
      </c>
      <c r="M1849" t="b">
        <v>0</v>
      </c>
      <c r="O1849" s="1">
        <v>46199.093969907408</v>
      </c>
    </row>
    <row r="1850" spans="1:15" x14ac:dyDescent="0.25">
      <c r="A1850">
        <v>1258873186</v>
      </c>
      <c r="B1850" t="s">
        <v>993</v>
      </c>
      <c r="G1850">
        <v>35</v>
      </c>
      <c r="H1850" t="s">
        <v>36</v>
      </c>
      <c r="I1850">
        <v>75</v>
      </c>
      <c r="J1850">
        <v>75.7</v>
      </c>
      <c r="L1850" t="s">
        <v>12</v>
      </c>
      <c r="M1850" t="b">
        <v>0</v>
      </c>
      <c r="O1850" s="1">
        <v>46199.093969907408</v>
      </c>
    </row>
    <row r="1851" spans="1:15" x14ac:dyDescent="0.25">
      <c r="A1851">
        <v>428714555</v>
      </c>
      <c r="B1851" t="s">
        <v>993</v>
      </c>
      <c r="G1851">
        <v>59</v>
      </c>
      <c r="H1851" t="s">
        <v>31</v>
      </c>
      <c r="I1851">
        <v>125</v>
      </c>
      <c r="J1851">
        <v>123.6</v>
      </c>
      <c r="L1851" t="s">
        <v>15</v>
      </c>
      <c r="M1851" t="b">
        <v>0</v>
      </c>
      <c r="O1851" s="1">
        <v>46199.093969907408</v>
      </c>
    </row>
    <row r="1852" spans="1:15" x14ac:dyDescent="0.25">
      <c r="A1852">
        <v>-1554560240</v>
      </c>
      <c r="B1852" t="s">
        <v>994</v>
      </c>
      <c r="C1852" t="s">
        <v>392</v>
      </c>
      <c r="D1852" t="s">
        <v>414</v>
      </c>
      <c r="E1852" t="s">
        <v>340</v>
      </c>
      <c r="F1852">
        <v>450</v>
      </c>
      <c r="K1852" s="1">
        <v>46199.154930555553</v>
      </c>
      <c r="M1852" t="b">
        <v>0</v>
      </c>
      <c r="O1852" s="1">
        <v>46199.154930555553</v>
      </c>
    </row>
    <row r="1853" spans="1:15" x14ac:dyDescent="0.25">
      <c r="A1853">
        <v>-1748463151</v>
      </c>
      <c r="B1853" t="s">
        <v>994</v>
      </c>
      <c r="G1853">
        <v>41</v>
      </c>
      <c r="H1853" t="s">
        <v>29</v>
      </c>
      <c r="I1853">
        <v>5625</v>
      </c>
      <c r="J1853">
        <v>5582.4</v>
      </c>
      <c r="L1853" t="s">
        <v>12</v>
      </c>
      <c r="M1853" t="b">
        <v>0</v>
      </c>
      <c r="O1853" s="1">
        <v>46199.154930555553</v>
      </c>
    </row>
    <row r="1854" spans="1:15" x14ac:dyDescent="0.25">
      <c r="A1854">
        <v>8611774</v>
      </c>
      <c r="B1854" t="s">
        <v>994</v>
      </c>
      <c r="G1854">
        <v>75</v>
      </c>
      <c r="H1854" t="s">
        <v>173</v>
      </c>
      <c r="I1854">
        <v>2169</v>
      </c>
      <c r="J1854">
        <v>2177.4</v>
      </c>
      <c r="L1854" t="s">
        <v>12</v>
      </c>
      <c r="M1854" t="b">
        <v>0</v>
      </c>
      <c r="O1854" s="1">
        <v>46199.154930555553</v>
      </c>
    </row>
    <row r="1855" spans="1:15" x14ac:dyDescent="0.25">
      <c r="A1855">
        <v>-540151705</v>
      </c>
      <c r="B1855" t="s">
        <v>994</v>
      </c>
      <c r="G1855">
        <v>27</v>
      </c>
      <c r="H1855" t="s">
        <v>143</v>
      </c>
      <c r="I1855">
        <v>1278</v>
      </c>
      <c r="J1855">
        <v>1276.5</v>
      </c>
      <c r="L1855" t="s">
        <v>12</v>
      </c>
      <c r="M1855" t="b">
        <v>0</v>
      </c>
      <c r="O1855" s="1">
        <v>46199.154930555553</v>
      </c>
    </row>
    <row r="1856" spans="1:15" x14ac:dyDescent="0.25">
      <c r="A1856">
        <v>-1276130276</v>
      </c>
      <c r="B1856" t="s">
        <v>994</v>
      </c>
      <c r="G1856">
        <v>40</v>
      </c>
      <c r="H1856" t="s">
        <v>127</v>
      </c>
      <c r="I1856">
        <v>1426.5</v>
      </c>
      <c r="J1856">
        <v>1422.5</v>
      </c>
      <c r="L1856" t="s">
        <v>12</v>
      </c>
      <c r="M1856" t="b">
        <v>0</v>
      </c>
      <c r="O1856" s="1">
        <v>46199.154930555553</v>
      </c>
    </row>
    <row r="1857" spans="1:15" x14ac:dyDescent="0.25">
      <c r="A1857">
        <v>-1920464659</v>
      </c>
      <c r="B1857" t="s">
        <v>994</v>
      </c>
      <c r="G1857">
        <v>35</v>
      </c>
      <c r="H1857" t="s">
        <v>36</v>
      </c>
      <c r="I1857">
        <v>731.25</v>
      </c>
      <c r="J1857">
        <v>731.8</v>
      </c>
      <c r="L1857" t="s">
        <v>12</v>
      </c>
      <c r="M1857" t="b">
        <v>0</v>
      </c>
      <c r="O1857" s="1">
        <v>46199.154930555553</v>
      </c>
    </row>
    <row r="1858" spans="1:15" x14ac:dyDescent="0.25">
      <c r="A1858">
        <v>-1785610302</v>
      </c>
      <c r="B1858" t="s">
        <v>995</v>
      </c>
      <c r="C1858" t="s">
        <v>615</v>
      </c>
      <c r="D1858" t="s">
        <v>996</v>
      </c>
      <c r="E1858" t="s">
        <v>313</v>
      </c>
      <c r="F1858">
        <v>150</v>
      </c>
      <c r="K1858" s="1">
        <v>46199.183692129627</v>
      </c>
      <c r="M1858" t="b">
        <v>0</v>
      </c>
      <c r="O1858" s="1">
        <v>46199.183692129627</v>
      </c>
    </row>
    <row r="1859" spans="1:15" x14ac:dyDescent="0.25">
      <c r="A1859">
        <v>-479788773</v>
      </c>
      <c r="B1859" t="s">
        <v>995</v>
      </c>
      <c r="G1859">
        <v>41</v>
      </c>
      <c r="H1859" t="s">
        <v>29</v>
      </c>
      <c r="I1859">
        <v>1782</v>
      </c>
      <c r="J1859">
        <v>1779.8</v>
      </c>
      <c r="L1859" t="s">
        <v>12</v>
      </c>
      <c r="M1859" t="b">
        <v>0</v>
      </c>
      <c r="O1859" s="1">
        <v>46199.183692129627</v>
      </c>
    </row>
    <row r="1860" spans="1:15" x14ac:dyDescent="0.25">
      <c r="A1860">
        <v>-2082901056</v>
      </c>
      <c r="B1860" t="s">
        <v>995</v>
      </c>
      <c r="G1860">
        <v>35</v>
      </c>
      <c r="H1860" t="s">
        <v>36</v>
      </c>
      <c r="I1860">
        <v>208.2</v>
      </c>
      <c r="J1860">
        <v>207.6</v>
      </c>
      <c r="L1860" t="s">
        <v>12</v>
      </c>
      <c r="M1860" t="b">
        <v>0</v>
      </c>
      <c r="O1860" s="1">
        <v>46199.183692129627</v>
      </c>
    </row>
    <row r="1861" spans="1:15" x14ac:dyDescent="0.25">
      <c r="A1861">
        <v>-1153967935</v>
      </c>
      <c r="B1861" t="s">
        <v>995</v>
      </c>
      <c r="G1861">
        <v>11</v>
      </c>
      <c r="H1861" t="s">
        <v>33</v>
      </c>
      <c r="I1861">
        <v>40.799999999999997</v>
      </c>
      <c r="J1861">
        <v>41.1</v>
      </c>
      <c r="L1861" t="s">
        <v>12</v>
      </c>
      <c r="M1861" t="b">
        <v>0</v>
      </c>
      <c r="O1861" s="1">
        <v>46199.183692129627</v>
      </c>
    </row>
    <row r="1862" spans="1:15" x14ac:dyDescent="0.25">
      <c r="A1862">
        <v>1087274990</v>
      </c>
      <c r="B1862" t="s">
        <v>997</v>
      </c>
      <c r="C1862" t="s">
        <v>430</v>
      </c>
      <c r="D1862" t="s">
        <v>998</v>
      </c>
      <c r="E1862" t="s">
        <v>336</v>
      </c>
      <c r="F1862">
        <v>50</v>
      </c>
      <c r="K1862" s="1">
        <v>46199.21738425926</v>
      </c>
      <c r="M1862" t="b">
        <v>0</v>
      </c>
      <c r="O1862" s="1">
        <v>46199.21738425926</v>
      </c>
    </row>
    <row r="1863" spans="1:15" x14ac:dyDescent="0.25">
      <c r="A1863">
        <v>-1061400361</v>
      </c>
      <c r="B1863" t="s">
        <v>997</v>
      </c>
      <c r="G1863">
        <v>41</v>
      </c>
      <c r="H1863" t="s">
        <v>29</v>
      </c>
      <c r="I1863">
        <v>487.5</v>
      </c>
      <c r="J1863">
        <v>487.6</v>
      </c>
      <c r="L1863" t="s">
        <v>12</v>
      </c>
      <c r="M1863" t="b">
        <v>0</v>
      </c>
      <c r="O1863" s="1">
        <v>46199.21738425926</v>
      </c>
    </row>
    <row r="1864" spans="1:15" x14ac:dyDescent="0.25">
      <c r="A1864">
        <v>1417371596</v>
      </c>
      <c r="B1864" t="s">
        <v>997</v>
      </c>
      <c r="G1864">
        <v>35</v>
      </c>
      <c r="H1864" t="s">
        <v>36</v>
      </c>
      <c r="I1864">
        <v>20</v>
      </c>
      <c r="J1864">
        <v>20.3</v>
      </c>
      <c r="L1864" t="s">
        <v>15</v>
      </c>
      <c r="M1864" t="b">
        <v>0</v>
      </c>
      <c r="O1864" s="1">
        <v>46199.21738425926</v>
      </c>
    </row>
    <row r="1865" spans="1:15" x14ac:dyDescent="0.25">
      <c r="A1865">
        <v>137751263</v>
      </c>
      <c r="B1865" t="s">
        <v>999</v>
      </c>
      <c r="C1865" t="s">
        <v>392</v>
      </c>
      <c r="D1865" t="s">
        <v>912</v>
      </c>
      <c r="E1865" t="s">
        <v>313</v>
      </c>
      <c r="F1865">
        <v>280</v>
      </c>
      <c r="K1865" s="1">
        <v>46199.344386574077</v>
      </c>
      <c r="M1865" t="b">
        <v>0</v>
      </c>
      <c r="O1865" s="1">
        <v>46199.344386574077</v>
      </c>
    </row>
    <row r="1866" spans="1:15" x14ac:dyDescent="0.25">
      <c r="A1866">
        <v>2134811444</v>
      </c>
      <c r="B1866" t="s">
        <v>999</v>
      </c>
      <c r="G1866">
        <v>41</v>
      </c>
      <c r="H1866" t="s">
        <v>29</v>
      </c>
      <c r="I1866">
        <v>5605.6</v>
      </c>
      <c r="J1866">
        <v>5608.2</v>
      </c>
      <c r="L1866" t="s">
        <v>12</v>
      </c>
      <c r="M1866" t="b">
        <v>0</v>
      </c>
      <c r="O1866" s="1">
        <v>46199.344386574077</v>
      </c>
    </row>
    <row r="1867" spans="1:15" x14ac:dyDescent="0.25">
      <c r="A1867">
        <v>1839425573</v>
      </c>
      <c r="B1867" t="s">
        <v>999</v>
      </c>
      <c r="G1867">
        <v>4</v>
      </c>
      <c r="H1867" t="s">
        <v>27</v>
      </c>
      <c r="I1867">
        <v>1120</v>
      </c>
      <c r="J1867">
        <v>1121.5999999999999</v>
      </c>
      <c r="L1867" t="s">
        <v>12</v>
      </c>
      <c r="M1867" t="b">
        <v>0</v>
      </c>
      <c r="O1867" s="1">
        <v>46199.344386574077</v>
      </c>
    </row>
    <row r="1868" spans="1:15" x14ac:dyDescent="0.25">
      <c r="A1868">
        <v>629836930</v>
      </c>
      <c r="B1868" t="s">
        <v>999</v>
      </c>
      <c r="G1868">
        <v>11</v>
      </c>
      <c r="H1868" t="s">
        <v>33</v>
      </c>
      <c r="I1868">
        <v>3080</v>
      </c>
      <c r="J1868">
        <v>3087.8</v>
      </c>
      <c r="L1868" t="s">
        <v>12</v>
      </c>
      <c r="M1868" t="b">
        <v>0</v>
      </c>
      <c r="O1868" s="1">
        <v>46199.344386574077</v>
      </c>
    </row>
    <row r="1869" spans="1:15" x14ac:dyDescent="0.25">
      <c r="A1869">
        <v>-1533387755</v>
      </c>
      <c r="B1869" t="s">
        <v>1000</v>
      </c>
      <c r="C1869" t="s">
        <v>395</v>
      </c>
      <c r="D1869" t="s">
        <v>396</v>
      </c>
      <c r="E1869" t="s">
        <v>336</v>
      </c>
      <c r="F1869">
        <v>50</v>
      </c>
      <c r="K1869" s="1">
        <v>46199.371018518519</v>
      </c>
      <c r="M1869" t="b">
        <v>0</v>
      </c>
      <c r="O1869" s="1">
        <v>46199.371018518519</v>
      </c>
    </row>
    <row r="1870" spans="1:15" x14ac:dyDescent="0.25">
      <c r="A1870">
        <v>-98759246</v>
      </c>
      <c r="B1870" t="s">
        <v>1000</v>
      </c>
      <c r="G1870">
        <v>41</v>
      </c>
      <c r="H1870" t="s">
        <v>29</v>
      </c>
      <c r="I1870">
        <v>330</v>
      </c>
      <c r="J1870">
        <v>329.4</v>
      </c>
      <c r="L1870" t="s">
        <v>12</v>
      </c>
      <c r="M1870" t="b">
        <v>0</v>
      </c>
      <c r="O1870" s="1">
        <v>46199.371018518519</v>
      </c>
    </row>
    <row r="1871" spans="1:15" x14ac:dyDescent="0.25">
      <c r="A1871">
        <v>-2081860533</v>
      </c>
      <c r="B1871" t="s">
        <v>1000</v>
      </c>
      <c r="G1871">
        <v>11</v>
      </c>
      <c r="H1871" t="s">
        <v>33</v>
      </c>
      <c r="I1871">
        <v>14</v>
      </c>
      <c r="J1871">
        <v>14</v>
      </c>
      <c r="L1871" t="s">
        <v>12</v>
      </c>
      <c r="M1871" t="b">
        <v>0</v>
      </c>
      <c r="O1871" s="1">
        <v>46199.371018518519</v>
      </c>
    </row>
    <row r="1872" spans="1:15" x14ac:dyDescent="0.25">
      <c r="A1872">
        <v>-1384172752</v>
      </c>
      <c r="B1872" t="s">
        <v>1000</v>
      </c>
      <c r="G1872">
        <v>68</v>
      </c>
      <c r="H1872" t="s">
        <v>14</v>
      </c>
      <c r="I1872">
        <v>38</v>
      </c>
      <c r="J1872">
        <v>39.799999999999997</v>
      </c>
      <c r="L1872" t="s">
        <v>15</v>
      </c>
      <c r="M1872" t="b">
        <v>0</v>
      </c>
      <c r="O1872" s="1">
        <v>46199.371018518519</v>
      </c>
    </row>
    <row r="1873" spans="1:15" x14ac:dyDescent="0.25">
      <c r="A1873">
        <v>-1554440335</v>
      </c>
      <c r="B1873" t="s">
        <v>1000</v>
      </c>
      <c r="G1873">
        <v>59</v>
      </c>
      <c r="H1873" t="s">
        <v>31</v>
      </c>
      <c r="I1873">
        <v>30</v>
      </c>
      <c r="J1873">
        <v>30.9</v>
      </c>
      <c r="L1873" t="s">
        <v>15</v>
      </c>
      <c r="M1873" t="b">
        <v>0</v>
      </c>
      <c r="O1873" s="1">
        <v>46199.371018518519</v>
      </c>
    </row>
    <row r="1874" spans="1:15" x14ac:dyDescent="0.25">
      <c r="A1874">
        <v>-2055281853</v>
      </c>
      <c r="B1874" t="s">
        <v>1001</v>
      </c>
      <c r="C1874" t="s">
        <v>518</v>
      </c>
      <c r="D1874" t="s">
        <v>399</v>
      </c>
      <c r="E1874" t="s">
        <v>313</v>
      </c>
      <c r="F1874">
        <v>15</v>
      </c>
      <c r="K1874" s="1">
        <v>46209.435219907406</v>
      </c>
      <c r="M1874" t="b">
        <v>0</v>
      </c>
      <c r="O1874" s="1">
        <v>46209.435219907406</v>
      </c>
    </row>
    <row r="1875" spans="1:15" x14ac:dyDescent="0.25">
      <c r="A1875">
        <v>960242888</v>
      </c>
      <c r="B1875" t="s">
        <v>1001</v>
      </c>
      <c r="G1875">
        <v>41</v>
      </c>
      <c r="H1875" t="s">
        <v>29</v>
      </c>
      <c r="I1875">
        <v>180</v>
      </c>
      <c r="J1875">
        <v>179.24</v>
      </c>
      <c r="L1875" t="s">
        <v>12</v>
      </c>
      <c r="M1875" t="b">
        <v>0</v>
      </c>
      <c r="O1875" s="1">
        <v>46209.435219907406</v>
      </c>
    </row>
    <row r="1876" spans="1:15" x14ac:dyDescent="0.25">
      <c r="A1876">
        <v>1654531881</v>
      </c>
      <c r="B1876" t="s">
        <v>1001</v>
      </c>
      <c r="G1876">
        <v>16</v>
      </c>
      <c r="H1876" t="s">
        <v>13</v>
      </c>
      <c r="I1876">
        <v>45</v>
      </c>
      <c r="J1876">
        <v>45</v>
      </c>
      <c r="L1876" t="s">
        <v>12</v>
      </c>
      <c r="M1876" t="b">
        <v>0</v>
      </c>
      <c r="O1876" s="1">
        <v>46209.435219907406</v>
      </c>
    </row>
    <row r="1877" spans="1:15" x14ac:dyDescent="0.25">
      <c r="A1877">
        <v>708556854</v>
      </c>
      <c r="B1877" t="s">
        <v>1001</v>
      </c>
      <c r="G1877">
        <v>4</v>
      </c>
      <c r="H1877" t="s">
        <v>27</v>
      </c>
      <c r="I1877">
        <v>110</v>
      </c>
      <c r="J1877">
        <v>109.57</v>
      </c>
      <c r="L1877" t="s">
        <v>12</v>
      </c>
      <c r="M1877" t="b">
        <v>0</v>
      </c>
      <c r="O1877" s="1">
        <v>46209.435219907406</v>
      </c>
    </row>
    <row r="1878" spans="1:15" x14ac:dyDescent="0.25">
      <c r="A1878">
        <v>-1223258527</v>
      </c>
      <c r="B1878" t="s">
        <v>1002</v>
      </c>
      <c r="C1878" t="s">
        <v>392</v>
      </c>
      <c r="D1878" t="s">
        <v>912</v>
      </c>
      <c r="E1878" t="s">
        <v>313</v>
      </c>
      <c r="F1878">
        <v>280</v>
      </c>
      <c r="K1878" s="1">
        <v>46199.433449074073</v>
      </c>
      <c r="M1878" t="b">
        <v>0</v>
      </c>
      <c r="O1878" s="1">
        <v>46199.433449074073</v>
      </c>
    </row>
    <row r="1879" spans="1:15" x14ac:dyDescent="0.25">
      <c r="A1879">
        <v>-433967858</v>
      </c>
      <c r="B1879" t="s">
        <v>1002</v>
      </c>
      <c r="G1879">
        <v>41</v>
      </c>
      <c r="H1879" t="s">
        <v>29</v>
      </c>
      <c r="I1879">
        <v>5600</v>
      </c>
      <c r="J1879">
        <v>5633.7</v>
      </c>
      <c r="L1879" t="s">
        <v>12</v>
      </c>
      <c r="M1879" t="b">
        <v>0</v>
      </c>
      <c r="O1879" s="1">
        <v>46199.433449074073</v>
      </c>
    </row>
    <row r="1880" spans="1:15" x14ac:dyDescent="0.25">
      <c r="A1880">
        <v>-1510178953</v>
      </c>
      <c r="B1880" t="s">
        <v>1002</v>
      </c>
      <c r="G1880">
        <v>4</v>
      </c>
      <c r="H1880" t="s">
        <v>27</v>
      </c>
      <c r="I1880">
        <v>600</v>
      </c>
      <c r="J1880">
        <v>601.20000000000005</v>
      </c>
      <c r="L1880" t="s">
        <v>12</v>
      </c>
      <c r="M1880" t="b">
        <v>0</v>
      </c>
      <c r="O1880" s="1">
        <v>46199.433449074073</v>
      </c>
    </row>
    <row r="1881" spans="1:15" x14ac:dyDescent="0.25">
      <c r="A1881">
        <v>-760786452</v>
      </c>
      <c r="B1881" t="s">
        <v>1002</v>
      </c>
      <c r="G1881">
        <v>11</v>
      </c>
      <c r="H1881" t="s">
        <v>33</v>
      </c>
      <c r="I1881">
        <v>3600</v>
      </c>
      <c r="J1881">
        <v>3600.2</v>
      </c>
      <c r="L1881" t="s">
        <v>12</v>
      </c>
      <c r="M1881" t="b">
        <v>0</v>
      </c>
      <c r="O1881" s="1">
        <v>46199.433449074073</v>
      </c>
    </row>
    <row r="1882" spans="1:15" x14ac:dyDescent="0.25">
      <c r="A1882">
        <v>310276045</v>
      </c>
      <c r="B1882" t="s">
        <v>1003</v>
      </c>
      <c r="C1882" t="s">
        <v>518</v>
      </c>
      <c r="D1882" t="s">
        <v>399</v>
      </c>
      <c r="E1882" t="s">
        <v>313</v>
      </c>
      <c r="F1882">
        <v>15</v>
      </c>
      <c r="K1882" s="1">
        <v>46209.578125</v>
      </c>
      <c r="M1882" t="b">
        <v>0</v>
      </c>
      <c r="O1882" s="1">
        <v>46209.578125</v>
      </c>
    </row>
    <row r="1883" spans="1:15" x14ac:dyDescent="0.25">
      <c r="A1883">
        <v>-1964255990</v>
      </c>
      <c r="B1883" t="s">
        <v>1003</v>
      </c>
      <c r="G1883">
        <v>41</v>
      </c>
      <c r="H1883" t="s">
        <v>29</v>
      </c>
      <c r="I1883">
        <v>160</v>
      </c>
      <c r="J1883">
        <v>160.94999999999999</v>
      </c>
      <c r="L1883" t="s">
        <v>12</v>
      </c>
      <c r="M1883" t="b">
        <v>0</v>
      </c>
      <c r="O1883" s="1">
        <v>46209.578125</v>
      </c>
    </row>
    <row r="1884" spans="1:15" x14ac:dyDescent="0.25">
      <c r="A1884">
        <v>-581210429</v>
      </c>
      <c r="B1884" t="s">
        <v>1003</v>
      </c>
      <c r="G1884">
        <v>16</v>
      </c>
      <c r="H1884" t="s">
        <v>13</v>
      </c>
      <c r="I1884">
        <v>45</v>
      </c>
      <c r="J1884">
        <v>45.28</v>
      </c>
      <c r="L1884" t="s">
        <v>12</v>
      </c>
      <c r="M1884" t="b">
        <v>0</v>
      </c>
      <c r="O1884" s="1">
        <v>46209.578125</v>
      </c>
    </row>
    <row r="1885" spans="1:15" x14ac:dyDescent="0.25">
      <c r="A1885">
        <v>810920520</v>
      </c>
      <c r="B1885" t="s">
        <v>1003</v>
      </c>
      <c r="G1885">
        <v>4</v>
      </c>
      <c r="H1885" t="s">
        <v>27</v>
      </c>
      <c r="I1885">
        <v>120</v>
      </c>
      <c r="J1885">
        <v>119.81</v>
      </c>
      <c r="L1885" t="s">
        <v>12</v>
      </c>
      <c r="M1885" t="b">
        <v>0</v>
      </c>
      <c r="O1885" s="1">
        <v>46209.578125</v>
      </c>
    </row>
    <row r="1886" spans="1:15" x14ac:dyDescent="0.25">
      <c r="A1886">
        <v>-49094512</v>
      </c>
      <c r="B1886" t="s">
        <v>1004</v>
      </c>
      <c r="C1886" t="s">
        <v>392</v>
      </c>
      <c r="D1886" t="s">
        <v>912</v>
      </c>
      <c r="E1886" t="s">
        <v>313</v>
      </c>
      <c r="F1886">
        <v>280</v>
      </c>
      <c r="K1886" s="1">
        <v>46199.543298611112</v>
      </c>
      <c r="M1886" t="b">
        <v>0</v>
      </c>
      <c r="O1886" s="1">
        <v>46199.543298611112</v>
      </c>
    </row>
    <row r="1887" spans="1:15" x14ac:dyDescent="0.25">
      <c r="A1887">
        <v>-971843247</v>
      </c>
      <c r="B1887" t="s">
        <v>1004</v>
      </c>
      <c r="G1887">
        <v>41</v>
      </c>
      <c r="H1887" t="s">
        <v>29</v>
      </c>
      <c r="I1887">
        <v>5600</v>
      </c>
      <c r="J1887">
        <v>5608.6</v>
      </c>
      <c r="L1887" t="s">
        <v>12</v>
      </c>
      <c r="M1887" t="b">
        <v>0</v>
      </c>
      <c r="O1887" s="1">
        <v>46199.543298611112</v>
      </c>
    </row>
    <row r="1888" spans="1:15" x14ac:dyDescent="0.25">
      <c r="A1888">
        <v>1070528830</v>
      </c>
      <c r="B1888" t="s">
        <v>1004</v>
      </c>
      <c r="G1888">
        <v>4</v>
      </c>
      <c r="H1888" t="s">
        <v>27</v>
      </c>
      <c r="I1888">
        <v>200</v>
      </c>
      <c r="J1888">
        <v>201.2</v>
      </c>
      <c r="L1888" t="s">
        <v>12</v>
      </c>
      <c r="M1888" t="b">
        <v>0</v>
      </c>
      <c r="O1888" s="1">
        <v>46199.543298611112</v>
      </c>
    </row>
    <row r="1889" spans="1:15" x14ac:dyDescent="0.25">
      <c r="A1889">
        <v>-993033241</v>
      </c>
      <c r="B1889" t="s">
        <v>1004</v>
      </c>
      <c r="G1889">
        <v>11</v>
      </c>
      <c r="H1889" t="s">
        <v>33</v>
      </c>
      <c r="I1889">
        <v>3600</v>
      </c>
      <c r="J1889">
        <v>3602.6</v>
      </c>
      <c r="L1889" t="s">
        <v>12</v>
      </c>
      <c r="M1889" t="b">
        <v>0</v>
      </c>
      <c r="O1889" s="1">
        <v>46199.543298611112</v>
      </c>
    </row>
    <row r="1890" spans="1:15" x14ac:dyDescent="0.25">
      <c r="A1890">
        <v>-1078216292</v>
      </c>
      <c r="B1890" t="s">
        <v>1005</v>
      </c>
      <c r="C1890" t="s">
        <v>694</v>
      </c>
      <c r="D1890" t="s">
        <v>695</v>
      </c>
      <c r="E1890" t="s">
        <v>313</v>
      </c>
      <c r="F1890">
        <v>100</v>
      </c>
      <c r="K1890" s="1">
        <v>46199.547939814816</v>
      </c>
      <c r="M1890" t="b">
        <v>0</v>
      </c>
      <c r="O1890" s="1">
        <v>46199.547939814816</v>
      </c>
    </row>
    <row r="1891" spans="1:15" x14ac:dyDescent="0.25">
      <c r="A1891">
        <v>-1212037011</v>
      </c>
      <c r="B1891" t="s">
        <v>1005</v>
      </c>
      <c r="G1891">
        <v>41</v>
      </c>
      <c r="H1891" t="s">
        <v>29</v>
      </c>
      <c r="I1891">
        <v>704</v>
      </c>
      <c r="J1891">
        <v>703.6</v>
      </c>
      <c r="L1891" t="s">
        <v>12</v>
      </c>
      <c r="M1891" t="b">
        <v>0</v>
      </c>
      <c r="O1891" s="1">
        <v>46199.547939814816</v>
      </c>
    </row>
    <row r="1892" spans="1:15" x14ac:dyDescent="0.25">
      <c r="A1892">
        <v>560081194</v>
      </c>
      <c r="B1892" t="s">
        <v>1005</v>
      </c>
      <c r="G1892">
        <v>49</v>
      </c>
      <c r="H1892" t="s">
        <v>181</v>
      </c>
      <c r="I1892">
        <v>47.8</v>
      </c>
      <c r="J1892">
        <v>48.2</v>
      </c>
      <c r="L1892" t="s">
        <v>12</v>
      </c>
      <c r="M1892" t="b">
        <v>0</v>
      </c>
      <c r="O1892" s="1">
        <v>46199.547939814816</v>
      </c>
    </row>
    <row r="1893" spans="1:15" x14ac:dyDescent="0.25">
      <c r="A1893">
        <v>129824867</v>
      </c>
      <c r="B1893" t="s">
        <v>1005</v>
      </c>
      <c r="G1893">
        <v>51</v>
      </c>
      <c r="H1893" t="s">
        <v>137</v>
      </c>
      <c r="I1893">
        <v>151</v>
      </c>
      <c r="J1893">
        <v>151</v>
      </c>
      <c r="L1893" t="s">
        <v>12</v>
      </c>
      <c r="M1893" t="b">
        <v>0</v>
      </c>
      <c r="O1893" s="1">
        <v>46199.547939814816</v>
      </c>
    </row>
    <row r="1894" spans="1:15" x14ac:dyDescent="0.25">
      <c r="A1894">
        <v>-1927242904</v>
      </c>
      <c r="B1894" t="s">
        <v>1006</v>
      </c>
      <c r="C1894" t="s">
        <v>469</v>
      </c>
      <c r="D1894" t="s">
        <v>470</v>
      </c>
      <c r="E1894" t="s">
        <v>340</v>
      </c>
      <c r="F1894">
        <v>250</v>
      </c>
      <c r="K1894" s="1">
        <v>46199.55263888889</v>
      </c>
      <c r="M1894" t="b">
        <v>0</v>
      </c>
      <c r="O1894" s="1">
        <v>46199.55263888889</v>
      </c>
    </row>
    <row r="1895" spans="1:15" x14ac:dyDescent="0.25">
      <c r="A1895">
        <v>-329596599</v>
      </c>
      <c r="B1895" t="s">
        <v>1006</v>
      </c>
      <c r="G1895">
        <v>41</v>
      </c>
      <c r="H1895" t="s">
        <v>29</v>
      </c>
      <c r="I1895">
        <v>1500</v>
      </c>
      <c r="J1895">
        <v>1503.6</v>
      </c>
      <c r="L1895" t="s">
        <v>12</v>
      </c>
      <c r="M1895" t="b">
        <v>0</v>
      </c>
      <c r="O1895" s="1">
        <v>46199.55263888889</v>
      </c>
    </row>
    <row r="1896" spans="1:15" x14ac:dyDescent="0.25">
      <c r="A1896">
        <v>-1160015914</v>
      </c>
      <c r="B1896" t="s">
        <v>1006</v>
      </c>
      <c r="G1896">
        <v>16</v>
      </c>
      <c r="H1896" t="s">
        <v>13</v>
      </c>
      <c r="I1896">
        <v>25</v>
      </c>
      <c r="J1896">
        <v>27.1</v>
      </c>
      <c r="L1896" t="s">
        <v>15</v>
      </c>
      <c r="M1896" t="b">
        <v>0</v>
      </c>
      <c r="O1896" s="1">
        <v>46199.55263888889</v>
      </c>
    </row>
    <row r="1897" spans="1:15" x14ac:dyDescent="0.25">
      <c r="A1897">
        <v>-812663653</v>
      </c>
      <c r="B1897" t="s">
        <v>1007</v>
      </c>
      <c r="C1897" t="s">
        <v>427</v>
      </c>
      <c r="D1897" t="s">
        <v>428</v>
      </c>
      <c r="E1897" t="s">
        <v>336</v>
      </c>
      <c r="F1897">
        <v>50</v>
      </c>
      <c r="K1897" s="1">
        <v>46199.566203703704</v>
      </c>
      <c r="M1897" t="b">
        <v>0</v>
      </c>
      <c r="O1897" s="1">
        <v>46199.566203703704</v>
      </c>
    </row>
    <row r="1898" spans="1:15" x14ac:dyDescent="0.25">
      <c r="A1898">
        <v>-8951488</v>
      </c>
      <c r="B1898" t="s">
        <v>1007</v>
      </c>
      <c r="G1898">
        <v>41</v>
      </c>
      <c r="H1898" t="s">
        <v>29</v>
      </c>
      <c r="I1898">
        <v>400</v>
      </c>
      <c r="J1898">
        <v>401.8</v>
      </c>
      <c r="L1898" t="s">
        <v>12</v>
      </c>
      <c r="M1898" t="b">
        <v>0</v>
      </c>
      <c r="O1898" s="1">
        <v>46199.566203703704</v>
      </c>
    </row>
    <row r="1899" spans="1:15" x14ac:dyDescent="0.25">
      <c r="A1899">
        <v>1082982465</v>
      </c>
      <c r="B1899" t="s">
        <v>1007</v>
      </c>
      <c r="G1899">
        <v>50</v>
      </c>
      <c r="H1899" t="s">
        <v>157</v>
      </c>
      <c r="I1899">
        <v>80</v>
      </c>
      <c r="J1899">
        <v>81.099999999999994</v>
      </c>
      <c r="L1899" t="s">
        <v>15</v>
      </c>
      <c r="M1899" t="b">
        <v>0</v>
      </c>
      <c r="O1899" s="1">
        <v>46199.566203703704</v>
      </c>
    </row>
    <row r="1900" spans="1:15" x14ac:dyDescent="0.25">
      <c r="A1900">
        <v>-1841073810</v>
      </c>
      <c r="B1900" t="s">
        <v>1007</v>
      </c>
      <c r="G1900">
        <v>16</v>
      </c>
      <c r="H1900" t="s">
        <v>13</v>
      </c>
      <c r="I1900">
        <v>90</v>
      </c>
      <c r="J1900">
        <v>90.1</v>
      </c>
      <c r="L1900" t="s">
        <v>12</v>
      </c>
      <c r="M1900" t="b">
        <v>0</v>
      </c>
      <c r="O1900" s="1">
        <v>46199.566203703704</v>
      </c>
    </row>
    <row r="1901" spans="1:15" x14ac:dyDescent="0.25">
      <c r="A1901">
        <v>54772823</v>
      </c>
      <c r="B1901" t="s">
        <v>1008</v>
      </c>
      <c r="C1901" t="s">
        <v>518</v>
      </c>
      <c r="D1901" t="s">
        <v>399</v>
      </c>
      <c r="E1901" t="s">
        <v>313</v>
      </c>
      <c r="F1901">
        <v>15</v>
      </c>
      <c r="K1901" s="1">
        <v>46199.568067129629</v>
      </c>
      <c r="M1901" t="b">
        <v>0</v>
      </c>
      <c r="O1901" s="1">
        <v>46199.568067129629</v>
      </c>
    </row>
    <row r="1902" spans="1:15" x14ac:dyDescent="0.25">
      <c r="A1902">
        <v>403680588</v>
      </c>
      <c r="B1902" t="s">
        <v>1008</v>
      </c>
      <c r="G1902">
        <v>41</v>
      </c>
      <c r="H1902" t="s">
        <v>29</v>
      </c>
      <c r="I1902">
        <v>160</v>
      </c>
      <c r="J1902">
        <v>161.1</v>
      </c>
      <c r="L1902" t="s">
        <v>12</v>
      </c>
      <c r="M1902" t="b">
        <v>0</v>
      </c>
      <c r="O1902" s="1">
        <v>46199.568067129629</v>
      </c>
    </row>
    <row r="1903" spans="1:15" x14ac:dyDescent="0.25">
      <c r="A1903">
        <v>661896797</v>
      </c>
      <c r="B1903" t="s">
        <v>1008</v>
      </c>
      <c r="G1903">
        <v>16</v>
      </c>
      <c r="H1903" t="s">
        <v>13</v>
      </c>
      <c r="I1903">
        <v>45</v>
      </c>
      <c r="J1903">
        <v>45.5</v>
      </c>
      <c r="L1903" t="s">
        <v>15</v>
      </c>
      <c r="M1903" t="b">
        <v>0</v>
      </c>
      <c r="O1903" s="1">
        <v>46199.568067129629</v>
      </c>
    </row>
    <row r="1904" spans="1:15" x14ac:dyDescent="0.25">
      <c r="A1904">
        <v>1923089498</v>
      </c>
      <c r="B1904" t="s">
        <v>1008</v>
      </c>
      <c r="G1904">
        <v>4</v>
      </c>
      <c r="H1904" t="s">
        <v>27</v>
      </c>
      <c r="I1904">
        <v>120</v>
      </c>
      <c r="J1904">
        <v>120.2</v>
      </c>
      <c r="L1904" t="s">
        <v>12</v>
      </c>
      <c r="M1904" t="b">
        <v>0</v>
      </c>
      <c r="O1904" s="1">
        <v>46199.568067129629</v>
      </c>
    </row>
    <row r="1905" spans="1:15" x14ac:dyDescent="0.25">
      <c r="A1905">
        <v>-1098276909</v>
      </c>
      <c r="B1905" t="s">
        <v>1009</v>
      </c>
      <c r="C1905" t="s">
        <v>615</v>
      </c>
      <c r="D1905" t="s">
        <v>996</v>
      </c>
      <c r="E1905" t="s">
        <v>313</v>
      </c>
      <c r="F1905">
        <v>120</v>
      </c>
      <c r="K1905" s="1">
        <v>46199.573703703703</v>
      </c>
      <c r="M1905" t="b">
        <v>0</v>
      </c>
      <c r="O1905" s="1">
        <v>46199.573703703703</v>
      </c>
    </row>
    <row r="1906" spans="1:15" x14ac:dyDescent="0.25">
      <c r="A1906">
        <v>965257752</v>
      </c>
      <c r="B1906" t="s">
        <v>1009</v>
      </c>
      <c r="G1906">
        <v>41</v>
      </c>
      <c r="H1906" t="s">
        <v>29</v>
      </c>
      <c r="I1906">
        <v>1425.6</v>
      </c>
      <c r="J1906">
        <v>1430.3</v>
      </c>
      <c r="L1906" t="s">
        <v>12</v>
      </c>
      <c r="M1906" t="b">
        <v>0</v>
      </c>
      <c r="O1906" s="1">
        <v>46199.573703703703</v>
      </c>
    </row>
    <row r="1907" spans="1:15" x14ac:dyDescent="0.25">
      <c r="A1907">
        <v>-203983303</v>
      </c>
      <c r="B1907" t="s">
        <v>1009</v>
      </c>
      <c r="G1907">
        <v>35</v>
      </c>
      <c r="H1907" t="s">
        <v>36</v>
      </c>
      <c r="I1907">
        <v>166.56</v>
      </c>
      <c r="J1907">
        <v>165.8</v>
      </c>
      <c r="L1907" t="s">
        <v>12</v>
      </c>
      <c r="M1907" t="b">
        <v>0</v>
      </c>
      <c r="O1907" s="1">
        <v>46199.573703703703</v>
      </c>
    </row>
    <row r="1908" spans="1:15" x14ac:dyDescent="0.25">
      <c r="A1908">
        <v>-1571357178</v>
      </c>
      <c r="B1908" t="s">
        <v>1009</v>
      </c>
      <c r="G1908">
        <v>11</v>
      </c>
      <c r="H1908" t="s">
        <v>33</v>
      </c>
      <c r="I1908">
        <v>32.64</v>
      </c>
      <c r="J1908">
        <v>32.9</v>
      </c>
      <c r="L1908" t="s">
        <v>12</v>
      </c>
      <c r="M1908" t="b">
        <v>0</v>
      </c>
      <c r="O1908" s="1">
        <v>46199.573703703703</v>
      </c>
    </row>
    <row r="1909" spans="1:15" x14ac:dyDescent="0.25">
      <c r="A1909">
        <v>-841548102</v>
      </c>
      <c r="B1909" t="s">
        <v>1010</v>
      </c>
      <c r="C1909" t="s">
        <v>1011</v>
      </c>
      <c r="D1909" t="s">
        <v>996</v>
      </c>
      <c r="E1909" t="s">
        <v>313</v>
      </c>
      <c r="F1909">
        <v>120</v>
      </c>
      <c r="K1909" s="1">
        <v>46199.651400462964</v>
      </c>
      <c r="M1909" t="b">
        <v>0</v>
      </c>
      <c r="O1909" s="1">
        <v>46199.651400462964</v>
      </c>
    </row>
    <row r="1910" spans="1:15" x14ac:dyDescent="0.25">
      <c r="A1910">
        <v>-467279181</v>
      </c>
      <c r="B1910" t="s">
        <v>1010</v>
      </c>
      <c r="G1910">
        <v>41</v>
      </c>
      <c r="H1910" t="s">
        <v>29</v>
      </c>
      <c r="I1910">
        <v>2000</v>
      </c>
      <c r="J1910">
        <v>1997.8</v>
      </c>
      <c r="L1910" t="s">
        <v>12</v>
      </c>
      <c r="M1910" t="b">
        <v>0</v>
      </c>
      <c r="O1910" s="1">
        <v>46199.651400462964</v>
      </c>
    </row>
    <row r="1911" spans="1:15" x14ac:dyDescent="0.25">
      <c r="A1911">
        <v>-1844073608</v>
      </c>
      <c r="B1911" t="s">
        <v>1010</v>
      </c>
      <c r="G1911">
        <v>35</v>
      </c>
      <c r="H1911" t="s">
        <v>36</v>
      </c>
      <c r="I1911">
        <v>150</v>
      </c>
      <c r="J1911">
        <v>150.30000000000001</v>
      </c>
      <c r="L1911" t="s">
        <v>12</v>
      </c>
      <c r="M1911" t="b">
        <v>0</v>
      </c>
      <c r="O1911" s="1">
        <v>46199.651400462964</v>
      </c>
    </row>
    <row r="1912" spans="1:15" x14ac:dyDescent="0.25">
      <c r="A1912">
        <v>-1411582951</v>
      </c>
      <c r="B1912" t="s">
        <v>1010</v>
      </c>
      <c r="G1912">
        <v>11</v>
      </c>
      <c r="H1912" t="s">
        <v>33</v>
      </c>
      <c r="I1912">
        <v>50</v>
      </c>
      <c r="J1912">
        <v>50.4</v>
      </c>
      <c r="L1912" t="s">
        <v>12</v>
      </c>
      <c r="M1912" t="b">
        <v>0</v>
      </c>
      <c r="O1912" s="1">
        <v>46199.651400462964</v>
      </c>
    </row>
    <row r="1913" spans="1:15" x14ac:dyDescent="0.25">
      <c r="A1913">
        <v>40197734</v>
      </c>
      <c r="B1913" t="s">
        <v>1012</v>
      </c>
      <c r="C1913" t="s">
        <v>392</v>
      </c>
      <c r="D1913" t="s">
        <v>912</v>
      </c>
      <c r="E1913" t="s">
        <v>313</v>
      </c>
      <c r="F1913">
        <v>280</v>
      </c>
      <c r="K1913" s="1">
        <v>46199.67528935185</v>
      </c>
      <c r="M1913" t="b">
        <v>0</v>
      </c>
      <c r="O1913" s="1">
        <v>46199.67528935185</v>
      </c>
    </row>
    <row r="1914" spans="1:15" x14ac:dyDescent="0.25">
      <c r="A1914">
        <v>-1709098001</v>
      </c>
      <c r="B1914" t="s">
        <v>1012</v>
      </c>
      <c r="G1914">
        <v>41</v>
      </c>
      <c r="H1914" t="s">
        <v>29</v>
      </c>
      <c r="I1914">
        <v>6000</v>
      </c>
      <c r="J1914">
        <v>6010.1</v>
      </c>
      <c r="L1914" t="s">
        <v>12</v>
      </c>
      <c r="M1914" t="b">
        <v>0</v>
      </c>
      <c r="O1914" s="1">
        <v>46199.67528935185</v>
      </c>
    </row>
    <row r="1915" spans="1:15" x14ac:dyDescent="0.25">
      <c r="A1915">
        <v>-2073017596</v>
      </c>
      <c r="B1915" t="s">
        <v>1012</v>
      </c>
      <c r="H1915" t="s">
        <v>27</v>
      </c>
      <c r="I1915">
        <v>0</v>
      </c>
      <c r="J1915">
        <v>4006.6</v>
      </c>
      <c r="L1915" t="s">
        <v>15</v>
      </c>
      <c r="M1915" t="b">
        <v>0</v>
      </c>
      <c r="O1915" s="1">
        <v>46199.67528935185</v>
      </c>
    </row>
    <row r="1916" spans="1:15" x14ac:dyDescent="0.25">
      <c r="A1916">
        <v>-789487691</v>
      </c>
      <c r="B1916" t="s">
        <v>1012</v>
      </c>
      <c r="G1916">
        <v>11</v>
      </c>
      <c r="H1916" t="s">
        <v>33</v>
      </c>
      <c r="I1916">
        <v>4000</v>
      </c>
      <c r="L1916" t="s">
        <v>15</v>
      </c>
      <c r="M1916" t="b">
        <v>0</v>
      </c>
      <c r="O1916" s="1">
        <v>46199.67528935185</v>
      </c>
    </row>
    <row r="1917" spans="1:15" x14ac:dyDescent="0.25">
      <c r="A1917">
        <v>-1163235118</v>
      </c>
      <c r="B1917" t="s">
        <v>1013</v>
      </c>
      <c r="C1917" t="s">
        <v>800</v>
      </c>
      <c r="D1917" t="s">
        <v>801</v>
      </c>
      <c r="E1917" t="s">
        <v>364</v>
      </c>
      <c r="F1917">
        <v>50</v>
      </c>
      <c r="K1917" s="1">
        <v>46199.678749999999</v>
      </c>
      <c r="M1917" t="b">
        <v>0</v>
      </c>
      <c r="O1917" s="1">
        <v>46199.678749999999</v>
      </c>
    </row>
    <row r="1918" spans="1:15" x14ac:dyDescent="0.25">
      <c r="A1918">
        <v>-1949138709</v>
      </c>
      <c r="B1918" t="s">
        <v>1013</v>
      </c>
      <c r="G1918">
        <v>41</v>
      </c>
      <c r="H1918" t="s">
        <v>29</v>
      </c>
      <c r="I1918">
        <v>444.5</v>
      </c>
      <c r="J1918">
        <v>445.1</v>
      </c>
      <c r="L1918" t="s">
        <v>12</v>
      </c>
      <c r="M1918" t="b">
        <v>0</v>
      </c>
      <c r="O1918" s="1">
        <v>46199.678749999999</v>
      </c>
    </row>
    <row r="1919" spans="1:15" x14ac:dyDescent="0.25">
      <c r="A1919">
        <v>-1751921840</v>
      </c>
      <c r="B1919" t="s">
        <v>1013</v>
      </c>
      <c r="G1919">
        <v>35</v>
      </c>
      <c r="H1919" t="s">
        <v>36</v>
      </c>
      <c r="I1919">
        <v>37.25</v>
      </c>
      <c r="J1919">
        <v>37.9</v>
      </c>
      <c r="L1919" t="s">
        <v>15</v>
      </c>
      <c r="M1919" t="b">
        <v>0</v>
      </c>
      <c r="O1919" s="1">
        <v>46199.678749999999</v>
      </c>
    </row>
    <row r="1920" spans="1:15" x14ac:dyDescent="0.25">
      <c r="A1920">
        <v>-1314611951</v>
      </c>
      <c r="B1920" t="s">
        <v>1013</v>
      </c>
      <c r="G1920">
        <v>44</v>
      </c>
      <c r="H1920" t="s">
        <v>16</v>
      </c>
      <c r="I1920">
        <v>30</v>
      </c>
      <c r="J1920">
        <v>30.5</v>
      </c>
      <c r="L1920" t="s">
        <v>15</v>
      </c>
      <c r="M1920" t="b">
        <v>0</v>
      </c>
      <c r="O1920" s="1">
        <v>46199.678749999999</v>
      </c>
    </row>
    <row r="1921" spans="1:15" x14ac:dyDescent="0.25">
      <c r="A1921">
        <v>-833822210</v>
      </c>
      <c r="B1921" t="s">
        <v>1014</v>
      </c>
      <c r="C1921" t="s">
        <v>712</v>
      </c>
      <c r="D1921" t="s">
        <v>603</v>
      </c>
      <c r="E1921" t="s">
        <v>336</v>
      </c>
      <c r="F1921">
        <v>50</v>
      </c>
      <c r="K1921" s="1">
        <v>46199.765717592592</v>
      </c>
      <c r="M1921" t="b">
        <v>0</v>
      </c>
      <c r="O1921" s="1">
        <v>46199.765717592592</v>
      </c>
    </row>
    <row r="1922" spans="1:15" x14ac:dyDescent="0.25">
      <c r="A1922">
        <v>1611525543</v>
      </c>
      <c r="B1922" t="s">
        <v>1014</v>
      </c>
      <c r="G1922">
        <v>41</v>
      </c>
      <c r="H1922" t="s">
        <v>29</v>
      </c>
      <c r="I1922">
        <v>950</v>
      </c>
      <c r="J1922">
        <v>951.4</v>
      </c>
      <c r="L1922" t="s">
        <v>12</v>
      </c>
      <c r="M1922" t="b">
        <v>0</v>
      </c>
      <c r="O1922" s="1">
        <v>46199.765717592592</v>
      </c>
    </row>
    <row r="1923" spans="1:15" x14ac:dyDescent="0.25">
      <c r="A1923">
        <v>-860434340</v>
      </c>
      <c r="B1923" t="s">
        <v>1014</v>
      </c>
      <c r="G1923">
        <v>59</v>
      </c>
      <c r="H1923" t="s">
        <v>31</v>
      </c>
      <c r="I1923">
        <v>35</v>
      </c>
      <c r="J1923">
        <v>35.200000000000003</v>
      </c>
      <c r="L1923" t="s">
        <v>12</v>
      </c>
      <c r="M1923" t="b">
        <v>0</v>
      </c>
      <c r="O1923" s="1">
        <v>46199.765717592592</v>
      </c>
    </row>
    <row r="1924" spans="1:15" x14ac:dyDescent="0.25">
      <c r="A1924">
        <v>-2041231315</v>
      </c>
      <c r="B1924" t="s">
        <v>1014</v>
      </c>
      <c r="G1924">
        <v>16</v>
      </c>
      <c r="H1924" t="s">
        <v>13</v>
      </c>
      <c r="I1924">
        <v>299</v>
      </c>
      <c r="J1924">
        <v>299.7</v>
      </c>
      <c r="L1924" t="s">
        <v>12</v>
      </c>
      <c r="M1924" t="b">
        <v>0</v>
      </c>
      <c r="O1924" s="1">
        <v>46199.765717592592</v>
      </c>
    </row>
    <row r="1925" spans="1:15" x14ac:dyDescent="0.25">
      <c r="A1925">
        <v>638983658</v>
      </c>
      <c r="B1925" t="s">
        <v>1014</v>
      </c>
      <c r="G1925">
        <v>4</v>
      </c>
      <c r="H1925" t="s">
        <v>27</v>
      </c>
      <c r="I1925">
        <v>105</v>
      </c>
      <c r="J1925">
        <v>105</v>
      </c>
      <c r="L1925" t="s">
        <v>12</v>
      </c>
      <c r="M1925" t="b">
        <v>0</v>
      </c>
      <c r="O1925" s="1">
        <v>46199.765717592592</v>
      </c>
    </row>
    <row r="1926" spans="1:15" x14ac:dyDescent="0.25">
      <c r="A1926">
        <v>109205939</v>
      </c>
      <c r="B1926" t="s">
        <v>1015</v>
      </c>
      <c r="C1926" t="s">
        <v>376</v>
      </c>
      <c r="D1926" t="s">
        <v>377</v>
      </c>
      <c r="E1926" t="s">
        <v>340</v>
      </c>
      <c r="F1926">
        <v>15</v>
      </c>
      <c r="K1926" s="1">
        <v>46209.866041666668</v>
      </c>
      <c r="M1926" t="b">
        <v>0</v>
      </c>
      <c r="O1926" s="1">
        <v>46209.866041666668</v>
      </c>
    </row>
    <row r="1927" spans="1:15" x14ac:dyDescent="0.25">
      <c r="A1927">
        <v>1866503800</v>
      </c>
      <c r="B1927" t="s">
        <v>1015</v>
      </c>
      <c r="G1927">
        <v>41</v>
      </c>
      <c r="H1927" t="s">
        <v>29</v>
      </c>
      <c r="I1927">
        <v>32.4</v>
      </c>
      <c r="J1927">
        <v>32.299999999999997</v>
      </c>
      <c r="L1927" t="s">
        <v>12</v>
      </c>
      <c r="M1927" t="b">
        <v>0</v>
      </c>
      <c r="O1927" s="1">
        <v>46209.866041666668</v>
      </c>
    </row>
    <row r="1928" spans="1:15" x14ac:dyDescent="0.25">
      <c r="A1928">
        <v>-611695847</v>
      </c>
      <c r="B1928" t="s">
        <v>1015</v>
      </c>
      <c r="G1928">
        <v>58</v>
      </c>
      <c r="H1928" t="s">
        <v>32</v>
      </c>
      <c r="I1928">
        <v>66.45</v>
      </c>
      <c r="J1928">
        <v>66.69</v>
      </c>
      <c r="L1928" t="s">
        <v>12</v>
      </c>
      <c r="M1928" t="b">
        <v>0</v>
      </c>
      <c r="O1928" s="1">
        <v>46209.866041666668</v>
      </c>
    </row>
    <row r="1929" spans="1:15" x14ac:dyDescent="0.25">
      <c r="A1929">
        <v>-657047194</v>
      </c>
      <c r="B1929" t="s">
        <v>1015</v>
      </c>
      <c r="G1929">
        <v>35</v>
      </c>
      <c r="H1929" t="s">
        <v>36</v>
      </c>
      <c r="I1929">
        <v>11.31</v>
      </c>
      <c r="J1929">
        <v>11.31</v>
      </c>
      <c r="L1929" t="s">
        <v>12</v>
      </c>
      <c r="M1929" t="b">
        <v>0</v>
      </c>
      <c r="O1929" s="1">
        <v>46209.866041666668</v>
      </c>
    </row>
    <row r="1930" spans="1:15" x14ac:dyDescent="0.25">
      <c r="A1930">
        <v>2011898607</v>
      </c>
      <c r="B1930" t="s">
        <v>1015</v>
      </c>
      <c r="G1930">
        <v>16</v>
      </c>
      <c r="H1930" t="s">
        <v>13</v>
      </c>
      <c r="I1930">
        <v>4.59</v>
      </c>
      <c r="J1930">
        <v>4.57</v>
      </c>
      <c r="L1930" t="s">
        <v>12</v>
      </c>
      <c r="M1930" t="b">
        <v>0</v>
      </c>
      <c r="O1930" s="1">
        <v>46209.866041666668</v>
      </c>
    </row>
    <row r="1931" spans="1:15" x14ac:dyDescent="0.25">
      <c r="A1931">
        <v>186408455</v>
      </c>
      <c r="B1931" t="s">
        <v>1016</v>
      </c>
      <c r="C1931" t="s">
        <v>800</v>
      </c>
      <c r="D1931" t="s">
        <v>801</v>
      </c>
      <c r="E1931" t="s">
        <v>364</v>
      </c>
      <c r="F1931">
        <v>50</v>
      </c>
      <c r="K1931" s="1">
        <v>46200.120671296296</v>
      </c>
      <c r="M1931" t="b">
        <v>0</v>
      </c>
      <c r="O1931" s="1">
        <v>46200.120671296296</v>
      </c>
    </row>
    <row r="1932" spans="1:15" x14ac:dyDescent="0.25">
      <c r="A1932">
        <v>255250748</v>
      </c>
      <c r="B1932" t="s">
        <v>1016</v>
      </c>
      <c r="G1932">
        <v>41</v>
      </c>
      <c r="H1932" t="s">
        <v>29</v>
      </c>
      <c r="I1932">
        <v>444.5</v>
      </c>
      <c r="J1932">
        <v>448.3</v>
      </c>
      <c r="L1932" t="s">
        <v>12</v>
      </c>
      <c r="M1932" t="b">
        <v>0</v>
      </c>
      <c r="O1932" s="1">
        <v>46200.120671296296</v>
      </c>
    </row>
    <row r="1933" spans="1:15" x14ac:dyDescent="0.25">
      <c r="A1933">
        <v>262057869</v>
      </c>
      <c r="B1933" t="s">
        <v>1016</v>
      </c>
      <c r="G1933">
        <v>35</v>
      </c>
      <c r="H1933" t="s">
        <v>36</v>
      </c>
      <c r="I1933">
        <v>37.25</v>
      </c>
      <c r="J1933">
        <v>37</v>
      </c>
      <c r="L1933" t="s">
        <v>12</v>
      </c>
      <c r="M1933" t="b">
        <v>0</v>
      </c>
      <c r="O1933" s="1">
        <v>46200.120671296296</v>
      </c>
    </row>
    <row r="1934" spans="1:15" x14ac:dyDescent="0.25">
      <c r="A1934">
        <v>853379530</v>
      </c>
      <c r="B1934" t="s">
        <v>1016</v>
      </c>
      <c r="G1934">
        <v>44</v>
      </c>
      <c r="H1934" t="s">
        <v>16</v>
      </c>
      <c r="I1934">
        <v>30</v>
      </c>
      <c r="J1934">
        <v>29.9</v>
      </c>
      <c r="L1934" t="s">
        <v>12</v>
      </c>
      <c r="M1934" t="b">
        <v>0</v>
      </c>
      <c r="O1934" s="1">
        <v>46200.120671296296</v>
      </c>
    </row>
    <row r="1935" spans="1:15" x14ac:dyDescent="0.25">
      <c r="A1935">
        <v>-209062189</v>
      </c>
      <c r="B1935" t="s">
        <v>1017</v>
      </c>
      <c r="C1935" t="s">
        <v>800</v>
      </c>
      <c r="D1935" t="s">
        <v>1018</v>
      </c>
      <c r="E1935" t="s">
        <v>364</v>
      </c>
      <c r="F1935">
        <v>50</v>
      </c>
      <c r="K1935" s="1">
        <v>46200.22388888889</v>
      </c>
      <c r="M1935" t="b">
        <v>0</v>
      </c>
      <c r="O1935" s="1">
        <v>46200.22388888889</v>
      </c>
    </row>
    <row r="1936" spans="1:15" x14ac:dyDescent="0.25">
      <c r="A1936">
        <v>-1732119272</v>
      </c>
      <c r="B1936" t="s">
        <v>1017</v>
      </c>
      <c r="G1936">
        <v>41</v>
      </c>
      <c r="H1936" t="s">
        <v>29</v>
      </c>
      <c r="I1936">
        <v>700</v>
      </c>
      <c r="J1936">
        <v>705.4</v>
      </c>
      <c r="L1936" t="s">
        <v>12</v>
      </c>
      <c r="M1936" t="b">
        <v>0</v>
      </c>
      <c r="O1936" s="1">
        <v>46200.22388888889</v>
      </c>
    </row>
    <row r="1937" spans="1:15" x14ac:dyDescent="0.25">
      <c r="A1937">
        <v>-364141255</v>
      </c>
      <c r="B1937" t="s">
        <v>1017</v>
      </c>
      <c r="G1937">
        <v>35</v>
      </c>
      <c r="H1937" t="s">
        <v>36</v>
      </c>
      <c r="I1937">
        <v>100</v>
      </c>
      <c r="J1937">
        <v>101</v>
      </c>
      <c r="L1937" t="s">
        <v>12</v>
      </c>
      <c r="M1937" t="b">
        <v>0</v>
      </c>
      <c r="O1937" s="1">
        <v>46200.22388888889</v>
      </c>
    </row>
    <row r="1938" spans="1:15" x14ac:dyDescent="0.25">
      <c r="A1938">
        <v>385696006</v>
      </c>
      <c r="B1938" t="s">
        <v>1017</v>
      </c>
      <c r="G1938">
        <v>44</v>
      </c>
      <c r="H1938" t="s">
        <v>16</v>
      </c>
      <c r="I1938">
        <v>65</v>
      </c>
      <c r="J1938">
        <v>65.099999999999994</v>
      </c>
      <c r="L1938" t="s">
        <v>12</v>
      </c>
      <c r="M1938" t="b">
        <v>0</v>
      </c>
      <c r="O1938" s="1">
        <v>46200.22388888889</v>
      </c>
    </row>
    <row r="1939" spans="1:15" x14ac:dyDescent="0.25">
      <c r="A1939">
        <v>-1220507652</v>
      </c>
      <c r="B1939" t="s">
        <v>1019</v>
      </c>
      <c r="C1939" t="s">
        <v>813</v>
      </c>
      <c r="D1939" t="s">
        <v>1020</v>
      </c>
      <c r="E1939" t="s">
        <v>313</v>
      </c>
      <c r="F1939">
        <v>50</v>
      </c>
      <c r="K1939" s="1">
        <v>46200.275567129633</v>
      </c>
      <c r="M1939" t="b">
        <v>0</v>
      </c>
      <c r="O1939" s="1">
        <v>46200.275567129633</v>
      </c>
    </row>
    <row r="1940" spans="1:15" x14ac:dyDescent="0.25">
      <c r="A1940">
        <v>1132744525</v>
      </c>
      <c r="B1940" t="s">
        <v>1019</v>
      </c>
      <c r="G1940">
        <v>41</v>
      </c>
      <c r="H1940" t="s">
        <v>29</v>
      </c>
      <c r="I1940">
        <v>900</v>
      </c>
      <c r="J1940">
        <v>897.5</v>
      </c>
      <c r="L1940" t="s">
        <v>12</v>
      </c>
      <c r="M1940" t="b">
        <v>0</v>
      </c>
      <c r="O1940" s="1">
        <v>46200.275567129633</v>
      </c>
    </row>
    <row r="1941" spans="1:15" x14ac:dyDescent="0.25">
      <c r="A1941">
        <v>-809427318</v>
      </c>
      <c r="B1941" t="s">
        <v>1019</v>
      </c>
      <c r="G1941">
        <v>35</v>
      </c>
      <c r="H1941" t="s">
        <v>36</v>
      </c>
      <c r="I1941">
        <v>115</v>
      </c>
      <c r="J1941">
        <v>114.9</v>
      </c>
      <c r="L1941" t="s">
        <v>12</v>
      </c>
      <c r="M1941" t="b">
        <v>0</v>
      </c>
      <c r="O1941" s="1">
        <v>46200.275567129633</v>
      </c>
    </row>
    <row r="1942" spans="1:15" x14ac:dyDescent="0.25">
      <c r="A1942">
        <v>1994545731</v>
      </c>
      <c r="B1942" t="s">
        <v>1019</v>
      </c>
      <c r="G1942">
        <v>4</v>
      </c>
      <c r="H1942" t="s">
        <v>27</v>
      </c>
      <c r="I1942">
        <v>130</v>
      </c>
      <c r="J1942">
        <v>129.5</v>
      </c>
      <c r="L1942" t="s">
        <v>12</v>
      </c>
      <c r="M1942" t="b">
        <v>0</v>
      </c>
      <c r="O1942" s="1">
        <v>46200.275567129633</v>
      </c>
    </row>
    <row r="1943" spans="1:15" x14ac:dyDescent="0.25">
      <c r="A1943">
        <v>-190710091</v>
      </c>
      <c r="B1943" t="s">
        <v>1021</v>
      </c>
      <c r="C1943" t="s">
        <v>362</v>
      </c>
      <c r="D1943" t="s">
        <v>743</v>
      </c>
      <c r="E1943" t="s">
        <v>364</v>
      </c>
      <c r="F1943">
        <v>50</v>
      </c>
      <c r="K1943" s="1">
        <v>46200.306157407409</v>
      </c>
      <c r="M1943" t="b">
        <v>0</v>
      </c>
      <c r="O1943" s="1">
        <v>46200.306157407409</v>
      </c>
    </row>
    <row r="1944" spans="1:15" x14ac:dyDescent="0.25">
      <c r="A1944">
        <v>1871733714</v>
      </c>
      <c r="B1944" t="s">
        <v>1021</v>
      </c>
      <c r="G1944">
        <v>41</v>
      </c>
      <c r="H1944" t="s">
        <v>29</v>
      </c>
      <c r="I1944">
        <v>344</v>
      </c>
      <c r="J1944">
        <v>343.3</v>
      </c>
      <c r="L1944" t="s">
        <v>12</v>
      </c>
      <c r="M1944" t="b">
        <v>0</v>
      </c>
      <c r="O1944" s="1">
        <v>46200.306157407409</v>
      </c>
    </row>
    <row r="1945" spans="1:15" x14ac:dyDescent="0.25">
      <c r="A1945">
        <v>-1332725781</v>
      </c>
      <c r="B1945" t="s">
        <v>1021</v>
      </c>
      <c r="G1945">
        <v>68</v>
      </c>
      <c r="H1945" t="s">
        <v>14</v>
      </c>
      <c r="I1945">
        <v>13</v>
      </c>
      <c r="J1945">
        <v>13.7</v>
      </c>
      <c r="L1945" t="s">
        <v>15</v>
      </c>
      <c r="M1945" t="b">
        <v>0</v>
      </c>
      <c r="O1945" s="1">
        <v>46200.306157407409</v>
      </c>
    </row>
    <row r="1946" spans="1:15" x14ac:dyDescent="0.25">
      <c r="A1946">
        <v>1062663760</v>
      </c>
      <c r="B1946" t="s">
        <v>1021</v>
      </c>
      <c r="G1946">
        <v>44</v>
      </c>
      <c r="H1946" t="s">
        <v>16</v>
      </c>
      <c r="I1946">
        <v>14.95</v>
      </c>
      <c r="J1946">
        <v>14.6</v>
      </c>
      <c r="L1946" t="s">
        <v>15</v>
      </c>
      <c r="M1946" t="b">
        <v>0</v>
      </c>
      <c r="O1946" s="1">
        <v>46200.306157407409</v>
      </c>
    </row>
    <row r="1947" spans="1:15" x14ac:dyDescent="0.25">
      <c r="A1947">
        <v>1622404398</v>
      </c>
      <c r="B1947" t="s">
        <v>1022</v>
      </c>
      <c r="C1947" t="s">
        <v>430</v>
      </c>
      <c r="D1947" t="s">
        <v>998</v>
      </c>
      <c r="E1947" t="s">
        <v>336</v>
      </c>
      <c r="F1947">
        <v>50</v>
      </c>
      <c r="K1947" s="1">
        <v>46200.353518518517</v>
      </c>
      <c r="M1947" t="b">
        <v>0</v>
      </c>
      <c r="O1947" s="1">
        <v>46200.353518518517</v>
      </c>
    </row>
    <row r="1948" spans="1:15" x14ac:dyDescent="0.25">
      <c r="A1948">
        <v>-1942485737</v>
      </c>
      <c r="B1948" t="s">
        <v>1022</v>
      </c>
      <c r="G1948">
        <v>41</v>
      </c>
      <c r="H1948" t="s">
        <v>29</v>
      </c>
      <c r="I1948">
        <v>487.5</v>
      </c>
      <c r="J1948">
        <v>485.9</v>
      </c>
      <c r="L1948" t="s">
        <v>12</v>
      </c>
      <c r="M1948" t="b">
        <v>0</v>
      </c>
      <c r="O1948" s="1">
        <v>46200.353518518517</v>
      </c>
    </row>
    <row r="1949" spans="1:15" x14ac:dyDescent="0.25">
      <c r="A1949">
        <v>220958476</v>
      </c>
      <c r="B1949" t="s">
        <v>1022</v>
      </c>
      <c r="G1949">
        <v>35</v>
      </c>
      <c r="H1949" t="s">
        <v>36</v>
      </c>
      <c r="I1949">
        <v>20</v>
      </c>
      <c r="J1949">
        <v>21.3</v>
      </c>
      <c r="L1949" t="s">
        <v>15</v>
      </c>
      <c r="M1949" t="b">
        <v>0</v>
      </c>
      <c r="O1949" s="1">
        <v>46200.353518518517</v>
      </c>
    </row>
    <row r="1950" spans="1:15" x14ac:dyDescent="0.25">
      <c r="A1950">
        <v>1384361741</v>
      </c>
      <c r="B1950" t="s">
        <v>1023</v>
      </c>
      <c r="C1950" t="s">
        <v>518</v>
      </c>
      <c r="D1950" t="s">
        <v>399</v>
      </c>
      <c r="E1950" t="s">
        <v>313</v>
      </c>
      <c r="F1950">
        <v>15</v>
      </c>
      <c r="K1950" s="1">
        <v>46200.39135416667</v>
      </c>
      <c r="M1950" t="b">
        <v>0</v>
      </c>
      <c r="O1950" s="1">
        <v>46200.39135416667</v>
      </c>
    </row>
    <row r="1951" spans="1:15" x14ac:dyDescent="0.25">
      <c r="A1951">
        <v>313226058</v>
      </c>
      <c r="B1951" t="s">
        <v>1023</v>
      </c>
      <c r="G1951">
        <v>41</v>
      </c>
      <c r="H1951" t="s">
        <v>29</v>
      </c>
      <c r="I1951">
        <v>300</v>
      </c>
      <c r="J1951">
        <v>302.5</v>
      </c>
      <c r="L1951" t="s">
        <v>12</v>
      </c>
      <c r="M1951" t="b">
        <v>0</v>
      </c>
      <c r="O1951" s="1">
        <v>46200.39135416667</v>
      </c>
    </row>
    <row r="1952" spans="1:15" x14ac:dyDescent="0.25">
      <c r="A1952">
        <v>842514435</v>
      </c>
      <c r="B1952" t="s">
        <v>1023</v>
      </c>
      <c r="G1952">
        <v>16</v>
      </c>
      <c r="H1952" t="s">
        <v>13</v>
      </c>
      <c r="I1952">
        <v>40</v>
      </c>
      <c r="J1952">
        <v>42.6</v>
      </c>
      <c r="L1952" t="s">
        <v>15</v>
      </c>
      <c r="M1952" t="b">
        <v>0</v>
      </c>
      <c r="O1952" s="1">
        <v>46200.39135416667</v>
      </c>
    </row>
    <row r="1953" spans="1:15" x14ac:dyDescent="0.25">
      <c r="A1953">
        <v>470774408</v>
      </c>
      <c r="B1953" t="s">
        <v>1023</v>
      </c>
      <c r="G1953">
        <v>4</v>
      </c>
      <c r="H1953" t="s">
        <v>27</v>
      </c>
      <c r="I1953">
        <v>105</v>
      </c>
      <c r="J1953">
        <v>101.1</v>
      </c>
      <c r="L1953" t="s">
        <v>15</v>
      </c>
      <c r="M1953" t="b">
        <v>0</v>
      </c>
      <c r="O1953" s="1">
        <v>46200.39135416667</v>
      </c>
    </row>
    <row r="1954" spans="1:15" x14ac:dyDescent="0.25">
      <c r="A1954">
        <v>-912436759</v>
      </c>
      <c r="B1954" t="s">
        <v>1024</v>
      </c>
      <c r="C1954" t="s">
        <v>800</v>
      </c>
      <c r="D1954" t="s">
        <v>1018</v>
      </c>
      <c r="E1954" t="s">
        <v>364</v>
      </c>
      <c r="F1954">
        <v>100</v>
      </c>
      <c r="K1954" s="1">
        <v>46200.394247685188</v>
      </c>
      <c r="M1954" t="b">
        <v>0</v>
      </c>
      <c r="O1954" s="1">
        <v>46200.394247685188</v>
      </c>
    </row>
    <row r="1955" spans="1:15" x14ac:dyDescent="0.25">
      <c r="A1955">
        <v>1971239926</v>
      </c>
      <c r="B1955" t="s">
        <v>1024</v>
      </c>
      <c r="G1955">
        <v>41</v>
      </c>
      <c r="H1955" t="s">
        <v>29</v>
      </c>
      <c r="I1955">
        <v>1400</v>
      </c>
      <c r="J1955">
        <v>1403.2</v>
      </c>
      <c r="L1955" t="s">
        <v>12</v>
      </c>
      <c r="M1955" t="b">
        <v>0</v>
      </c>
      <c r="O1955" s="1">
        <v>46200.394247685188</v>
      </c>
    </row>
    <row r="1956" spans="1:15" x14ac:dyDescent="0.25">
      <c r="A1956">
        <v>866520639</v>
      </c>
      <c r="B1956" t="s">
        <v>1024</v>
      </c>
      <c r="G1956">
        <v>35</v>
      </c>
      <c r="H1956" t="s">
        <v>36</v>
      </c>
      <c r="I1956">
        <v>200</v>
      </c>
      <c r="J1956">
        <v>201.1</v>
      </c>
      <c r="L1956" t="s">
        <v>12</v>
      </c>
      <c r="M1956" t="b">
        <v>0</v>
      </c>
      <c r="O1956" s="1">
        <v>46200.394247685188</v>
      </c>
    </row>
    <row r="1957" spans="1:15" x14ac:dyDescent="0.25">
      <c r="A1957">
        <v>-641918188</v>
      </c>
      <c r="B1957" t="s">
        <v>1024</v>
      </c>
      <c r="G1957">
        <v>44</v>
      </c>
      <c r="H1957" t="s">
        <v>16</v>
      </c>
      <c r="I1957">
        <v>130</v>
      </c>
      <c r="J1957">
        <v>129.30000000000001</v>
      </c>
      <c r="L1957" t="s">
        <v>12</v>
      </c>
      <c r="M1957" t="b">
        <v>0</v>
      </c>
      <c r="O1957" s="1">
        <v>46200.394247685188</v>
      </c>
    </row>
    <row r="1958" spans="1:15" x14ac:dyDescent="0.25">
      <c r="A1958">
        <v>-1919829371</v>
      </c>
      <c r="B1958" t="s">
        <v>1025</v>
      </c>
      <c r="C1958" t="s">
        <v>718</v>
      </c>
      <c r="D1958" t="s">
        <v>719</v>
      </c>
      <c r="E1958" t="s">
        <v>313</v>
      </c>
      <c r="F1958">
        <v>430</v>
      </c>
      <c r="K1958" s="1">
        <v>46200.404247685183</v>
      </c>
      <c r="M1958" t="b">
        <v>0</v>
      </c>
      <c r="O1958" s="1">
        <v>46200.404247685183</v>
      </c>
    </row>
    <row r="1959" spans="1:15" x14ac:dyDescent="0.25">
      <c r="A1959">
        <v>-1737406622</v>
      </c>
      <c r="B1959" t="s">
        <v>1025</v>
      </c>
      <c r="G1959">
        <v>41</v>
      </c>
      <c r="H1959" t="s">
        <v>29</v>
      </c>
      <c r="I1959">
        <v>10750</v>
      </c>
      <c r="J1959">
        <v>10760.6</v>
      </c>
      <c r="L1959" t="s">
        <v>12</v>
      </c>
      <c r="M1959" t="b">
        <v>0</v>
      </c>
      <c r="O1959" s="1">
        <v>46200.404247685183</v>
      </c>
    </row>
    <row r="1960" spans="1:15" x14ac:dyDescent="0.25">
      <c r="A1960">
        <v>9148475</v>
      </c>
      <c r="B1960" t="s">
        <v>1025</v>
      </c>
      <c r="G1960">
        <v>16</v>
      </c>
      <c r="H1960" t="s">
        <v>13</v>
      </c>
      <c r="I1960">
        <v>215</v>
      </c>
      <c r="J1960">
        <v>214.8</v>
      </c>
      <c r="L1960" t="s">
        <v>12</v>
      </c>
      <c r="M1960" t="b">
        <v>0</v>
      </c>
      <c r="O1960" s="1">
        <v>46200.404247685183</v>
      </c>
    </row>
    <row r="1961" spans="1:15" x14ac:dyDescent="0.25">
      <c r="A1961">
        <v>-1425095584</v>
      </c>
      <c r="B1961" t="s">
        <v>1025</v>
      </c>
      <c r="G1961">
        <v>68</v>
      </c>
      <c r="H1961" t="s">
        <v>14</v>
      </c>
      <c r="I1961">
        <v>43</v>
      </c>
      <c r="J1961">
        <v>43.5</v>
      </c>
      <c r="L1961" t="s">
        <v>15</v>
      </c>
      <c r="M1961" t="b">
        <v>0</v>
      </c>
      <c r="O1961" s="1">
        <v>46200.404247685183</v>
      </c>
    </row>
    <row r="1962" spans="1:15" x14ac:dyDescent="0.25">
      <c r="A1962">
        <v>1809246153</v>
      </c>
      <c r="B1962" t="s">
        <v>1026</v>
      </c>
      <c r="C1962" t="s">
        <v>800</v>
      </c>
      <c r="D1962" t="s">
        <v>1018</v>
      </c>
      <c r="E1962" t="s">
        <v>364</v>
      </c>
      <c r="F1962">
        <v>100</v>
      </c>
      <c r="K1962" s="1">
        <v>46200.517384259256</v>
      </c>
      <c r="M1962" t="b">
        <v>0</v>
      </c>
      <c r="O1962" s="1">
        <v>46200.517384259256</v>
      </c>
    </row>
    <row r="1963" spans="1:15" x14ac:dyDescent="0.25">
      <c r="A1963">
        <v>-834317226</v>
      </c>
      <c r="B1963" t="s">
        <v>1026</v>
      </c>
      <c r="G1963">
        <v>41</v>
      </c>
      <c r="H1963" t="s">
        <v>29</v>
      </c>
      <c r="I1963">
        <v>1190</v>
      </c>
      <c r="J1963">
        <v>1198.8</v>
      </c>
      <c r="L1963" t="s">
        <v>12</v>
      </c>
      <c r="M1963" t="b">
        <v>0</v>
      </c>
      <c r="O1963" s="1">
        <v>46200.517384259256</v>
      </c>
    </row>
    <row r="1964" spans="1:15" x14ac:dyDescent="0.25">
      <c r="A1964">
        <v>1937053471</v>
      </c>
      <c r="B1964" t="s">
        <v>1026</v>
      </c>
      <c r="G1964">
        <v>35</v>
      </c>
      <c r="H1964" t="s">
        <v>36</v>
      </c>
      <c r="I1964">
        <v>220</v>
      </c>
      <c r="J1964">
        <v>217.9</v>
      </c>
      <c r="L1964" t="s">
        <v>12</v>
      </c>
      <c r="M1964" t="b">
        <v>0</v>
      </c>
      <c r="O1964" s="1">
        <v>46200.517384259256</v>
      </c>
    </row>
    <row r="1965" spans="1:15" x14ac:dyDescent="0.25">
      <c r="A1965">
        <v>-350557580</v>
      </c>
      <c r="B1965" t="s">
        <v>1026</v>
      </c>
      <c r="G1965">
        <v>44</v>
      </c>
      <c r="H1965" t="s">
        <v>16</v>
      </c>
      <c r="I1965">
        <v>120</v>
      </c>
      <c r="J1965">
        <v>120.4</v>
      </c>
      <c r="L1965" t="s">
        <v>12</v>
      </c>
      <c r="M1965" t="b">
        <v>0</v>
      </c>
      <c r="O1965" s="1">
        <v>46200.517384259256</v>
      </c>
    </row>
    <row r="1966" spans="1:15" x14ac:dyDescent="0.25">
      <c r="A1966">
        <v>-614502811</v>
      </c>
      <c r="B1966" t="s">
        <v>1027</v>
      </c>
      <c r="C1966" t="s">
        <v>430</v>
      </c>
      <c r="D1966" t="s">
        <v>998</v>
      </c>
      <c r="E1966" t="s">
        <v>336</v>
      </c>
      <c r="F1966">
        <v>50</v>
      </c>
      <c r="K1966" s="1">
        <v>46200.546006944445</v>
      </c>
      <c r="M1966" t="b">
        <v>0</v>
      </c>
      <c r="O1966" s="1">
        <v>46200.546006944445</v>
      </c>
    </row>
    <row r="1967" spans="1:15" x14ac:dyDescent="0.25">
      <c r="A1967">
        <v>-1389025854</v>
      </c>
      <c r="B1967" t="s">
        <v>1027</v>
      </c>
      <c r="G1967">
        <v>41</v>
      </c>
      <c r="H1967" t="s">
        <v>29</v>
      </c>
      <c r="I1967">
        <v>580</v>
      </c>
      <c r="J1967">
        <v>581.20000000000005</v>
      </c>
      <c r="L1967" t="s">
        <v>12</v>
      </c>
      <c r="M1967" t="b">
        <v>0</v>
      </c>
      <c r="O1967" s="1">
        <v>46200.546006944445</v>
      </c>
    </row>
    <row r="1968" spans="1:15" x14ac:dyDescent="0.25">
      <c r="A1968">
        <v>1489235739</v>
      </c>
      <c r="B1968" t="s">
        <v>1027</v>
      </c>
      <c r="G1968">
        <v>35</v>
      </c>
      <c r="H1968" t="s">
        <v>36</v>
      </c>
      <c r="I1968">
        <v>23</v>
      </c>
      <c r="J1968">
        <v>23.6</v>
      </c>
      <c r="L1968" t="s">
        <v>15</v>
      </c>
      <c r="M1968" t="b">
        <v>0</v>
      </c>
      <c r="O1968" s="1">
        <v>46200.546006944445</v>
      </c>
    </row>
    <row r="1969" spans="1:15" x14ac:dyDescent="0.25">
      <c r="A1969">
        <v>539507897</v>
      </c>
      <c r="B1969" t="s">
        <v>1028</v>
      </c>
      <c r="C1969" t="s">
        <v>424</v>
      </c>
      <c r="D1969" t="s">
        <v>685</v>
      </c>
      <c r="E1969" t="s">
        <v>340</v>
      </c>
      <c r="F1969">
        <v>450</v>
      </c>
      <c r="K1969" s="1">
        <v>46200.569305555553</v>
      </c>
      <c r="M1969" t="b">
        <v>0</v>
      </c>
      <c r="O1969" s="1">
        <v>46200.569305555553</v>
      </c>
    </row>
    <row r="1970" spans="1:15" x14ac:dyDescent="0.25">
      <c r="A1970">
        <v>518054534</v>
      </c>
      <c r="B1970" t="s">
        <v>1028</v>
      </c>
      <c r="G1970">
        <v>41</v>
      </c>
      <c r="H1970" t="s">
        <v>29</v>
      </c>
      <c r="I1970">
        <v>6525</v>
      </c>
      <c r="J1970">
        <v>6528.9</v>
      </c>
      <c r="L1970" t="s">
        <v>12</v>
      </c>
      <c r="M1970" t="b">
        <v>0</v>
      </c>
      <c r="O1970" s="1">
        <v>46200.569305555553</v>
      </c>
    </row>
    <row r="1971" spans="1:15" x14ac:dyDescent="0.25">
      <c r="A1971">
        <v>-57920113</v>
      </c>
      <c r="B1971" t="s">
        <v>1028</v>
      </c>
      <c r="G1971">
        <v>66</v>
      </c>
      <c r="H1971" t="s">
        <v>200</v>
      </c>
      <c r="I1971">
        <v>1350</v>
      </c>
      <c r="J1971">
        <v>1356.3</v>
      </c>
      <c r="L1971" t="s">
        <v>12</v>
      </c>
      <c r="M1971" t="b">
        <v>0</v>
      </c>
      <c r="O1971" s="1">
        <v>46200.569305555553</v>
      </c>
    </row>
    <row r="1972" spans="1:15" x14ac:dyDescent="0.25">
      <c r="A1972">
        <v>897836068</v>
      </c>
      <c r="B1972" t="s">
        <v>1028</v>
      </c>
      <c r="G1972">
        <v>16</v>
      </c>
      <c r="H1972" t="s">
        <v>13</v>
      </c>
      <c r="I1972">
        <v>585</v>
      </c>
      <c r="J1972">
        <v>583.9</v>
      </c>
      <c r="L1972" t="s">
        <v>12</v>
      </c>
      <c r="M1972" t="b">
        <v>0</v>
      </c>
      <c r="O1972" s="1">
        <v>46200.569305555553</v>
      </c>
    </row>
    <row r="1973" spans="1:15" x14ac:dyDescent="0.25">
      <c r="A1973">
        <v>-1343785230</v>
      </c>
      <c r="B1973" t="s">
        <v>1029</v>
      </c>
      <c r="C1973" t="s">
        <v>688</v>
      </c>
      <c r="D1973" t="s">
        <v>371</v>
      </c>
      <c r="E1973" t="s">
        <v>364</v>
      </c>
      <c r="F1973">
        <v>50</v>
      </c>
      <c r="K1973" s="1">
        <v>46200.618923611109</v>
      </c>
      <c r="M1973" t="b">
        <v>0</v>
      </c>
      <c r="O1973" s="1">
        <v>46200.618923611109</v>
      </c>
    </row>
    <row r="1974" spans="1:15" x14ac:dyDescent="0.25">
      <c r="A1974">
        <v>1661817995</v>
      </c>
      <c r="B1974" t="s">
        <v>1029</v>
      </c>
      <c r="G1974">
        <v>41</v>
      </c>
      <c r="H1974" t="s">
        <v>29</v>
      </c>
      <c r="I1974">
        <v>300</v>
      </c>
      <c r="J1974">
        <v>299.10000000000002</v>
      </c>
      <c r="L1974" t="s">
        <v>12</v>
      </c>
      <c r="M1974" t="b">
        <v>0</v>
      </c>
      <c r="O1974" s="1">
        <v>46200.618923611109</v>
      </c>
    </row>
    <row r="1975" spans="1:15" x14ac:dyDescent="0.25">
      <c r="A1975">
        <v>252493424</v>
      </c>
      <c r="B1975" t="s">
        <v>1029</v>
      </c>
      <c r="G1975">
        <v>35</v>
      </c>
      <c r="H1975" t="s">
        <v>36</v>
      </c>
      <c r="I1975">
        <v>40</v>
      </c>
      <c r="J1975">
        <v>40.4</v>
      </c>
      <c r="L1975" t="s">
        <v>12</v>
      </c>
      <c r="M1975" t="b">
        <v>0</v>
      </c>
      <c r="O1975" s="1">
        <v>46200.618923611109</v>
      </c>
    </row>
    <row r="1976" spans="1:15" x14ac:dyDescent="0.25">
      <c r="A1976">
        <v>-2074732111</v>
      </c>
      <c r="B1976" t="s">
        <v>1029</v>
      </c>
      <c r="G1976">
        <v>44</v>
      </c>
      <c r="H1976" t="s">
        <v>16</v>
      </c>
      <c r="I1976">
        <v>3.8</v>
      </c>
      <c r="L1976" t="s">
        <v>15</v>
      </c>
      <c r="M1976" t="b">
        <v>0</v>
      </c>
      <c r="O1976" s="1">
        <v>46200.618923611109</v>
      </c>
    </row>
    <row r="1977" spans="1:15" x14ac:dyDescent="0.25">
      <c r="A1977">
        <v>-577094841</v>
      </c>
      <c r="B1977" t="s">
        <v>1030</v>
      </c>
      <c r="C1977" t="s">
        <v>593</v>
      </c>
      <c r="D1977" t="s">
        <v>594</v>
      </c>
      <c r="E1977" t="s">
        <v>313</v>
      </c>
      <c r="F1977">
        <v>250</v>
      </c>
      <c r="K1977" s="1">
        <v>46200.628194444442</v>
      </c>
      <c r="M1977" t="b">
        <v>0</v>
      </c>
      <c r="O1977" s="1">
        <v>46200.628194444442</v>
      </c>
    </row>
    <row r="1978" spans="1:15" x14ac:dyDescent="0.25">
      <c r="A1978">
        <v>874395004</v>
      </c>
      <c r="B1978" t="s">
        <v>1030</v>
      </c>
      <c r="G1978">
        <v>41</v>
      </c>
      <c r="H1978" t="s">
        <v>29</v>
      </c>
      <c r="I1978">
        <v>5000</v>
      </c>
      <c r="J1978">
        <v>5009.1000000000004</v>
      </c>
      <c r="L1978" t="s">
        <v>12</v>
      </c>
      <c r="M1978" t="b">
        <v>0</v>
      </c>
      <c r="O1978" s="1">
        <v>46200.628194444442</v>
      </c>
    </row>
    <row r="1979" spans="1:15" x14ac:dyDescent="0.25">
      <c r="A1979">
        <v>1079824077</v>
      </c>
      <c r="B1979" t="s">
        <v>1030</v>
      </c>
      <c r="G1979">
        <v>58</v>
      </c>
      <c r="H1979" t="s">
        <v>32</v>
      </c>
      <c r="I1979">
        <v>2175</v>
      </c>
      <c r="J1979">
        <v>2173</v>
      </c>
      <c r="L1979" t="s">
        <v>12</v>
      </c>
      <c r="M1979" t="b">
        <v>0</v>
      </c>
      <c r="O1979" s="1">
        <v>46200.628194444442</v>
      </c>
    </row>
    <row r="1980" spans="1:15" x14ac:dyDescent="0.25">
      <c r="A1980">
        <v>610043914</v>
      </c>
      <c r="B1980" t="s">
        <v>1030</v>
      </c>
      <c r="G1980">
        <v>35</v>
      </c>
      <c r="H1980" t="s">
        <v>36</v>
      </c>
      <c r="I1980">
        <v>437.5</v>
      </c>
      <c r="J1980">
        <v>440.4</v>
      </c>
      <c r="L1980" t="s">
        <v>12</v>
      </c>
      <c r="M1980" t="b">
        <v>0</v>
      </c>
      <c r="O1980" s="1">
        <v>46200.628194444442</v>
      </c>
    </row>
    <row r="1981" spans="1:15" x14ac:dyDescent="0.25">
      <c r="A1981">
        <v>-688069181</v>
      </c>
      <c r="B1981" t="s">
        <v>1031</v>
      </c>
      <c r="C1981" t="s">
        <v>682</v>
      </c>
      <c r="D1981" t="s">
        <v>613</v>
      </c>
      <c r="E1981" t="s">
        <v>336</v>
      </c>
      <c r="F1981">
        <v>50</v>
      </c>
      <c r="K1981" s="1">
        <v>46200.662199074075</v>
      </c>
      <c r="M1981" t="b">
        <v>0</v>
      </c>
      <c r="O1981" s="1">
        <v>46200.662199074075</v>
      </c>
    </row>
    <row r="1982" spans="1:15" x14ac:dyDescent="0.25">
      <c r="A1982">
        <v>-492726968</v>
      </c>
      <c r="B1982" t="s">
        <v>1031</v>
      </c>
      <c r="G1982">
        <v>41</v>
      </c>
      <c r="H1982" t="s">
        <v>29</v>
      </c>
      <c r="I1982">
        <v>630</v>
      </c>
      <c r="J1982">
        <v>627.9</v>
      </c>
      <c r="L1982" t="s">
        <v>12</v>
      </c>
      <c r="M1982" t="b">
        <v>0</v>
      </c>
      <c r="O1982" s="1">
        <v>46200.662199074075</v>
      </c>
    </row>
    <row r="1983" spans="1:15" x14ac:dyDescent="0.25">
      <c r="A1983">
        <v>-326767191</v>
      </c>
      <c r="B1983" t="s">
        <v>1031</v>
      </c>
      <c r="G1983">
        <v>35</v>
      </c>
      <c r="H1983" t="s">
        <v>36</v>
      </c>
      <c r="I1983">
        <v>100</v>
      </c>
      <c r="J1983">
        <v>100.5</v>
      </c>
      <c r="L1983" t="s">
        <v>12</v>
      </c>
      <c r="M1983" t="b">
        <v>0</v>
      </c>
      <c r="O1983" s="1">
        <v>46200.662199074075</v>
      </c>
    </row>
    <row r="1984" spans="1:15" x14ac:dyDescent="0.25">
      <c r="A1984">
        <v>-1001349962</v>
      </c>
      <c r="B1984" t="s">
        <v>1031</v>
      </c>
      <c r="G1984">
        <v>11</v>
      </c>
      <c r="H1984" t="s">
        <v>33</v>
      </c>
      <c r="I1984">
        <v>18</v>
      </c>
      <c r="J1984">
        <v>17.899999999999999</v>
      </c>
      <c r="L1984" t="s">
        <v>12</v>
      </c>
      <c r="M1984" t="b">
        <v>0</v>
      </c>
      <c r="O1984" s="1">
        <v>46200.662199074075</v>
      </c>
    </row>
    <row r="1985" spans="1:15" x14ac:dyDescent="0.25">
      <c r="A1985">
        <v>-859949573</v>
      </c>
      <c r="B1985" t="s">
        <v>1032</v>
      </c>
      <c r="C1985" t="s">
        <v>430</v>
      </c>
      <c r="D1985" t="s">
        <v>998</v>
      </c>
      <c r="E1985" t="s">
        <v>336</v>
      </c>
      <c r="F1985">
        <v>50</v>
      </c>
      <c r="K1985" s="1">
        <v>46200.698379629626</v>
      </c>
      <c r="M1985" t="b">
        <v>0</v>
      </c>
      <c r="O1985" s="1">
        <v>46200.698379629626</v>
      </c>
    </row>
    <row r="1986" spans="1:15" x14ac:dyDescent="0.25">
      <c r="A1986">
        <v>-1179713760</v>
      </c>
      <c r="B1986" t="s">
        <v>1032</v>
      </c>
      <c r="G1986">
        <v>41</v>
      </c>
      <c r="H1986" t="s">
        <v>29</v>
      </c>
      <c r="I1986">
        <v>580</v>
      </c>
      <c r="J1986">
        <v>575.70000000000005</v>
      </c>
      <c r="L1986" t="s">
        <v>12</v>
      </c>
      <c r="M1986" t="b">
        <v>0</v>
      </c>
      <c r="O1986" s="1">
        <v>46200.698379629626</v>
      </c>
    </row>
    <row r="1987" spans="1:15" x14ac:dyDescent="0.25">
      <c r="A1987">
        <v>83466401</v>
      </c>
      <c r="B1987" t="s">
        <v>1032</v>
      </c>
      <c r="G1987">
        <v>35</v>
      </c>
      <c r="H1987" t="s">
        <v>36</v>
      </c>
      <c r="I1987">
        <v>23</v>
      </c>
      <c r="J1987">
        <v>22.9</v>
      </c>
      <c r="L1987" t="s">
        <v>12</v>
      </c>
      <c r="M1987" t="b">
        <v>0</v>
      </c>
      <c r="O1987" s="1">
        <v>46200.698379629626</v>
      </c>
    </row>
    <row r="1988" spans="1:15" x14ac:dyDescent="0.25">
      <c r="A1988">
        <v>-499090866</v>
      </c>
      <c r="B1988" t="s">
        <v>1033</v>
      </c>
      <c r="C1988" t="s">
        <v>800</v>
      </c>
      <c r="D1988" t="s">
        <v>1018</v>
      </c>
      <c r="E1988" t="s">
        <v>364</v>
      </c>
      <c r="F1988">
        <v>100</v>
      </c>
      <c r="K1988" s="1">
        <v>46200.701678240737</v>
      </c>
      <c r="M1988" t="b">
        <v>0</v>
      </c>
      <c r="O1988" s="1">
        <v>46200.701678240737</v>
      </c>
    </row>
    <row r="1989" spans="1:15" x14ac:dyDescent="0.25">
      <c r="A1989">
        <v>1085772727</v>
      </c>
      <c r="B1989" t="s">
        <v>1033</v>
      </c>
      <c r="G1989">
        <v>41</v>
      </c>
      <c r="H1989" t="s">
        <v>29</v>
      </c>
      <c r="I1989">
        <v>1000</v>
      </c>
      <c r="J1989">
        <v>1008.8</v>
      </c>
      <c r="L1989" t="s">
        <v>12</v>
      </c>
      <c r="M1989" t="b">
        <v>0</v>
      </c>
      <c r="O1989" s="1">
        <v>46200.701678240737</v>
      </c>
    </row>
    <row r="1990" spans="1:15" x14ac:dyDescent="0.25">
      <c r="A1990">
        <v>-373595860</v>
      </c>
      <c r="B1990" t="s">
        <v>1033</v>
      </c>
      <c r="G1990">
        <v>35</v>
      </c>
      <c r="H1990" t="s">
        <v>36</v>
      </c>
      <c r="I1990">
        <v>240</v>
      </c>
      <c r="J1990">
        <v>239</v>
      </c>
      <c r="L1990" t="s">
        <v>12</v>
      </c>
      <c r="M1990" t="b">
        <v>0</v>
      </c>
      <c r="O1990" s="1">
        <v>46200.701678240737</v>
      </c>
    </row>
    <row r="1991" spans="1:15" x14ac:dyDescent="0.25">
      <c r="A1991">
        <v>-566387523</v>
      </c>
      <c r="B1991" t="s">
        <v>1033</v>
      </c>
      <c r="G1991">
        <v>44</v>
      </c>
      <c r="H1991" t="s">
        <v>16</v>
      </c>
      <c r="I1991">
        <v>100</v>
      </c>
      <c r="J1991">
        <v>100.6</v>
      </c>
      <c r="L1991" t="s">
        <v>12</v>
      </c>
      <c r="M1991" t="b">
        <v>0</v>
      </c>
      <c r="O1991" s="1">
        <v>46200.701678240737</v>
      </c>
    </row>
    <row r="1992" spans="1:15" x14ac:dyDescent="0.25">
      <c r="A1992">
        <v>150480421</v>
      </c>
      <c r="B1992" t="s">
        <v>1034</v>
      </c>
      <c r="C1992" t="s">
        <v>688</v>
      </c>
      <c r="D1992" t="s">
        <v>371</v>
      </c>
      <c r="E1992" t="s">
        <v>364</v>
      </c>
      <c r="F1992">
        <v>50</v>
      </c>
      <c r="K1992" s="1">
        <v>46200.794791666667</v>
      </c>
      <c r="M1992" t="b">
        <v>0</v>
      </c>
      <c r="O1992" s="1">
        <v>46200.794791666667</v>
      </c>
    </row>
    <row r="1993" spans="1:15" x14ac:dyDescent="0.25">
      <c r="A1993">
        <v>371454594</v>
      </c>
      <c r="B1993" t="s">
        <v>1034</v>
      </c>
      <c r="G1993">
        <v>41</v>
      </c>
      <c r="H1993" t="s">
        <v>29</v>
      </c>
      <c r="I1993">
        <v>300</v>
      </c>
      <c r="J1993">
        <v>299.89999999999998</v>
      </c>
      <c r="L1993" t="s">
        <v>12</v>
      </c>
      <c r="M1993" t="b">
        <v>0</v>
      </c>
      <c r="O1993" s="1">
        <v>46200.794791666667</v>
      </c>
    </row>
    <row r="1994" spans="1:15" x14ac:dyDescent="0.25">
      <c r="A1994">
        <v>-961385253</v>
      </c>
      <c r="B1994" t="s">
        <v>1034</v>
      </c>
      <c r="G1994">
        <v>35</v>
      </c>
      <c r="H1994" t="s">
        <v>36</v>
      </c>
      <c r="I1994">
        <v>40</v>
      </c>
      <c r="J1994">
        <v>40.200000000000003</v>
      </c>
      <c r="L1994" t="s">
        <v>12</v>
      </c>
      <c r="M1994" t="b">
        <v>0</v>
      </c>
      <c r="O1994" s="1">
        <v>46200.794791666667</v>
      </c>
    </row>
    <row r="1995" spans="1:15" x14ac:dyDescent="0.25">
      <c r="A1995">
        <v>1793713280</v>
      </c>
      <c r="B1995" t="s">
        <v>1034</v>
      </c>
      <c r="G1995">
        <v>44</v>
      </c>
      <c r="H1995" t="s">
        <v>16</v>
      </c>
      <c r="I1995">
        <v>3.8</v>
      </c>
      <c r="J1995">
        <v>3.4</v>
      </c>
      <c r="L1995" t="s">
        <v>15</v>
      </c>
      <c r="M1995" t="b">
        <v>0</v>
      </c>
      <c r="O1995" s="1">
        <v>46200.794791666667</v>
      </c>
    </row>
    <row r="1996" spans="1:15" x14ac:dyDescent="0.25">
      <c r="A1996">
        <v>460884272</v>
      </c>
      <c r="B1996" t="s">
        <v>1035</v>
      </c>
      <c r="C1996" t="s">
        <v>813</v>
      </c>
      <c r="D1996" t="s">
        <v>1020</v>
      </c>
      <c r="E1996" t="s">
        <v>313</v>
      </c>
      <c r="F1996">
        <v>50</v>
      </c>
      <c r="K1996" s="1">
        <v>46200.847743055558</v>
      </c>
      <c r="M1996" t="b">
        <v>0</v>
      </c>
      <c r="O1996" s="1">
        <v>46200.847743055558</v>
      </c>
    </row>
    <row r="1997" spans="1:15" x14ac:dyDescent="0.25">
      <c r="A1997">
        <v>2071018865</v>
      </c>
      <c r="B1997" t="s">
        <v>1035</v>
      </c>
      <c r="G1997">
        <v>41</v>
      </c>
      <c r="H1997" t="s">
        <v>29</v>
      </c>
      <c r="I1997">
        <v>1100</v>
      </c>
      <c r="J1997">
        <v>1102.2</v>
      </c>
      <c r="L1997" t="s">
        <v>12</v>
      </c>
      <c r="M1997" t="b">
        <v>0</v>
      </c>
      <c r="O1997" s="1">
        <v>46200.847743055558</v>
      </c>
    </row>
    <row r="1998" spans="1:15" x14ac:dyDescent="0.25">
      <c r="A1998">
        <v>1465602782</v>
      </c>
      <c r="B1998" t="s">
        <v>1035</v>
      </c>
      <c r="G1998">
        <v>35</v>
      </c>
      <c r="H1998" t="s">
        <v>36</v>
      </c>
      <c r="I1998">
        <v>110</v>
      </c>
      <c r="J1998">
        <v>111.4</v>
      </c>
      <c r="L1998" t="s">
        <v>15</v>
      </c>
      <c r="M1998" t="b">
        <v>0</v>
      </c>
      <c r="O1998" s="1">
        <v>46200.847743055558</v>
      </c>
    </row>
    <row r="1999" spans="1:15" x14ac:dyDescent="0.25">
      <c r="A1999">
        <v>1224803591</v>
      </c>
      <c r="B1999" t="s">
        <v>1035</v>
      </c>
      <c r="G1999">
        <v>4</v>
      </c>
      <c r="H1999" t="s">
        <v>27</v>
      </c>
      <c r="I1999">
        <v>120</v>
      </c>
      <c r="J1999">
        <v>120</v>
      </c>
      <c r="L1999" t="s">
        <v>12</v>
      </c>
      <c r="M1999" t="b">
        <v>0</v>
      </c>
      <c r="O1999" s="1">
        <v>46200.847743055558</v>
      </c>
    </row>
    <row r="2000" spans="1:15" x14ac:dyDescent="0.25">
      <c r="A2000">
        <v>510798908</v>
      </c>
      <c r="B2000" t="s">
        <v>1036</v>
      </c>
      <c r="C2000" t="s">
        <v>392</v>
      </c>
      <c r="D2000" t="s">
        <v>912</v>
      </c>
      <c r="E2000" t="s">
        <v>313</v>
      </c>
      <c r="F2000">
        <v>50</v>
      </c>
      <c r="K2000" s="1">
        <v>46200.851967592593</v>
      </c>
      <c r="M2000" t="b">
        <v>0</v>
      </c>
      <c r="O2000" s="1">
        <v>46200.851967592593</v>
      </c>
    </row>
    <row r="2001" spans="1:15" x14ac:dyDescent="0.25">
      <c r="A2001">
        <v>-791695731</v>
      </c>
      <c r="B2001" t="s">
        <v>1036</v>
      </c>
      <c r="G2001">
        <v>41</v>
      </c>
      <c r="H2001" t="s">
        <v>29</v>
      </c>
      <c r="I2001">
        <v>1001</v>
      </c>
      <c r="J2001">
        <v>1001.6</v>
      </c>
      <c r="L2001" t="s">
        <v>12</v>
      </c>
      <c r="M2001" t="b">
        <v>0</v>
      </c>
      <c r="O2001" s="1">
        <v>46200.851967592593</v>
      </c>
    </row>
    <row r="2002" spans="1:15" x14ac:dyDescent="0.25">
      <c r="A2002">
        <v>-309044022</v>
      </c>
      <c r="B2002" t="s">
        <v>1036</v>
      </c>
      <c r="G2002">
        <v>4</v>
      </c>
      <c r="H2002" t="s">
        <v>27</v>
      </c>
      <c r="I2002">
        <v>200</v>
      </c>
      <c r="J2002">
        <v>201.4</v>
      </c>
      <c r="L2002" t="s">
        <v>12</v>
      </c>
      <c r="M2002" t="b">
        <v>0</v>
      </c>
      <c r="O2002" s="1">
        <v>46200.851967592593</v>
      </c>
    </row>
    <row r="2003" spans="1:15" x14ac:dyDescent="0.25">
      <c r="A2003">
        <v>-823014525</v>
      </c>
      <c r="B2003" t="s">
        <v>1036</v>
      </c>
      <c r="G2003">
        <v>11</v>
      </c>
      <c r="H2003" t="s">
        <v>33</v>
      </c>
      <c r="I2003">
        <v>550</v>
      </c>
      <c r="J2003">
        <v>545.70000000000005</v>
      </c>
      <c r="L2003" t="s">
        <v>12</v>
      </c>
      <c r="M2003" t="b">
        <v>0</v>
      </c>
      <c r="O2003" s="1">
        <v>46200.851967592593</v>
      </c>
    </row>
    <row r="2004" spans="1:15" x14ac:dyDescent="0.25">
      <c r="A2004">
        <v>1920917730</v>
      </c>
      <c r="B2004" t="s">
        <v>1037</v>
      </c>
      <c r="C2004" t="s">
        <v>358</v>
      </c>
      <c r="D2004" t="s">
        <v>359</v>
      </c>
      <c r="E2004" t="s">
        <v>336</v>
      </c>
      <c r="F2004">
        <v>50</v>
      </c>
      <c r="K2004" s="1">
        <v>46200.887499999997</v>
      </c>
      <c r="M2004" t="b">
        <v>0</v>
      </c>
      <c r="O2004" s="1">
        <v>46200.887499999997</v>
      </c>
    </row>
    <row r="2005" spans="1:15" x14ac:dyDescent="0.25">
      <c r="A2005">
        <v>1826132923</v>
      </c>
      <c r="B2005" t="s">
        <v>1037</v>
      </c>
      <c r="G2005">
        <v>41</v>
      </c>
      <c r="H2005" t="s">
        <v>29</v>
      </c>
      <c r="I2005">
        <v>1187.5</v>
      </c>
      <c r="J2005">
        <v>1178.7</v>
      </c>
      <c r="L2005" t="s">
        <v>12</v>
      </c>
      <c r="M2005" t="b">
        <v>0</v>
      </c>
      <c r="O2005" s="1">
        <v>46200.887499999997</v>
      </c>
    </row>
    <row r="2006" spans="1:15" x14ac:dyDescent="0.25">
      <c r="A2006">
        <v>1049360864</v>
      </c>
      <c r="B2006" t="s">
        <v>1037</v>
      </c>
      <c r="G2006">
        <v>44</v>
      </c>
      <c r="H2006" t="s">
        <v>16</v>
      </c>
      <c r="I2006">
        <v>225</v>
      </c>
      <c r="J2006">
        <v>224.2</v>
      </c>
      <c r="L2006" t="s">
        <v>12</v>
      </c>
      <c r="M2006" t="b">
        <v>0</v>
      </c>
      <c r="O2006" s="1">
        <v>46200.887499999997</v>
      </c>
    </row>
    <row r="2007" spans="1:15" x14ac:dyDescent="0.25">
      <c r="A2007">
        <v>400416762</v>
      </c>
      <c r="B2007" t="s">
        <v>1038</v>
      </c>
      <c r="C2007" t="s">
        <v>469</v>
      </c>
      <c r="D2007" t="s">
        <v>470</v>
      </c>
      <c r="E2007" t="s">
        <v>313</v>
      </c>
      <c r="F2007">
        <v>250</v>
      </c>
      <c r="K2007" s="1">
        <v>46200.92559027778</v>
      </c>
      <c r="M2007" t="b">
        <v>0</v>
      </c>
      <c r="O2007" s="1">
        <v>46200.92559027778</v>
      </c>
    </row>
    <row r="2008" spans="1:15" x14ac:dyDescent="0.25">
      <c r="A2008">
        <v>633010931</v>
      </c>
      <c r="B2008" t="s">
        <v>1038</v>
      </c>
      <c r="G2008">
        <v>41</v>
      </c>
      <c r="H2008" t="s">
        <v>29</v>
      </c>
      <c r="I2008">
        <v>1500</v>
      </c>
      <c r="J2008">
        <v>1505.1</v>
      </c>
      <c r="L2008" t="s">
        <v>12</v>
      </c>
      <c r="M2008" t="b">
        <v>0</v>
      </c>
      <c r="O2008" s="1">
        <v>46200.92559027778</v>
      </c>
    </row>
    <row r="2009" spans="1:15" x14ac:dyDescent="0.25">
      <c r="A2009">
        <v>-585863496</v>
      </c>
      <c r="B2009" t="s">
        <v>1038</v>
      </c>
      <c r="G2009">
        <v>16</v>
      </c>
      <c r="H2009" t="s">
        <v>13</v>
      </c>
      <c r="I2009">
        <v>25</v>
      </c>
      <c r="J2009">
        <v>25.3</v>
      </c>
      <c r="L2009" t="s">
        <v>15</v>
      </c>
      <c r="M2009" t="b">
        <v>0</v>
      </c>
      <c r="O2009" s="1">
        <v>46200.92559027778</v>
      </c>
    </row>
    <row r="2010" spans="1:15" x14ac:dyDescent="0.25">
      <c r="A2010">
        <v>1309722201</v>
      </c>
      <c r="B2010" t="s">
        <v>1039</v>
      </c>
      <c r="C2010" t="s">
        <v>813</v>
      </c>
      <c r="D2010" t="s">
        <v>1020</v>
      </c>
      <c r="E2010" t="s">
        <v>313</v>
      </c>
      <c r="F2010">
        <v>50</v>
      </c>
      <c r="K2010" s="1">
        <v>46200.928240740737</v>
      </c>
      <c r="M2010" t="b">
        <v>0</v>
      </c>
      <c r="O2010" s="1">
        <v>46200.928240740737</v>
      </c>
    </row>
    <row r="2011" spans="1:15" x14ac:dyDescent="0.25">
      <c r="A2011">
        <v>1684460454</v>
      </c>
      <c r="B2011" t="s">
        <v>1039</v>
      </c>
      <c r="G2011">
        <v>41</v>
      </c>
      <c r="H2011" t="s">
        <v>29</v>
      </c>
      <c r="I2011">
        <v>1100</v>
      </c>
      <c r="J2011">
        <v>1092.2</v>
      </c>
      <c r="L2011" t="s">
        <v>12</v>
      </c>
      <c r="M2011" t="b">
        <v>0</v>
      </c>
      <c r="O2011" s="1">
        <v>46200.928240740737</v>
      </c>
    </row>
    <row r="2012" spans="1:15" x14ac:dyDescent="0.25">
      <c r="A2012">
        <v>867850287</v>
      </c>
      <c r="B2012" t="s">
        <v>1039</v>
      </c>
      <c r="G2012">
        <v>35</v>
      </c>
      <c r="H2012" t="s">
        <v>36</v>
      </c>
      <c r="I2012">
        <v>110</v>
      </c>
      <c r="J2012">
        <v>109.3</v>
      </c>
      <c r="L2012" t="s">
        <v>12</v>
      </c>
      <c r="M2012" t="b">
        <v>0</v>
      </c>
      <c r="O2012" s="1">
        <v>46200.928240740737</v>
      </c>
    </row>
    <row r="2013" spans="1:15" x14ac:dyDescent="0.25">
      <c r="A2013">
        <v>-474236348</v>
      </c>
      <c r="B2013" t="s">
        <v>1039</v>
      </c>
      <c r="G2013">
        <v>4</v>
      </c>
      <c r="H2013" t="s">
        <v>27</v>
      </c>
      <c r="I2013">
        <v>120</v>
      </c>
      <c r="J2013">
        <v>119.7</v>
      </c>
      <c r="L2013" t="s">
        <v>12</v>
      </c>
      <c r="M2013" t="b">
        <v>0</v>
      </c>
      <c r="O2013" s="1">
        <v>46200.928240740737</v>
      </c>
    </row>
    <row r="2014" spans="1:15" x14ac:dyDescent="0.25">
      <c r="A2014">
        <v>-1003798722</v>
      </c>
      <c r="B2014" t="s">
        <v>1040</v>
      </c>
      <c r="C2014" t="s">
        <v>392</v>
      </c>
      <c r="D2014" t="s">
        <v>912</v>
      </c>
      <c r="E2014" t="s">
        <v>340</v>
      </c>
      <c r="F2014">
        <v>50</v>
      </c>
      <c r="K2014" s="1">
        <v>46200.954571759263</v>
      </c>
      <c r="M2014" t="b">
        <v>0</v>
      </c>
      <c r="O2014" s="1">
        <v>46200.954571759263</v>
      </c>
    </row>
    <row r="2015" spans="1:15" x14ac:dyDescent="0.25">
      <c r="A2015">
        <v>1877725671</v>
      </c>
      <c r="B2015" t="s">
        <v>1040</v>
      </c>
      <c r="G2015">
        <v>41</v>
      </c>
      <c r="H2015" t="s">
        <v>29</v>
      </c>
      <c r="I2015">
        <v>1001</v>
      </c>
      <c r="J2015">
        <v>1002.3</v>
      </c>
      <c r="L2015" t="s">
        <v>12</v>
      </c>
      <c r="M2015" t="b">
        <v>0</v>
      </c>
      <c r="O2015" s="1">
        <v>46200.954571759263</v>
      </c>
    </row>
    <row r="2016" spans="1:15" x14ac:dyDescent="0.25">
      <c r="A2016">
        <v>-1043763300</v>
      </c>
      <c r="B2016" t="s">
        <v>1040</v>
      </c>
      <c r="G2016">
        <v>4</v>
      </c>
      <c r="H2016" t="s">
        <v>27</v>
      </c>
      <c r="I2016">
        <v>200</v>
      </c>
      <c r="J2016">
        <v>200.7</v>
      </c>
      <c r="L2016" t="s">
        <v>12</v>
      </c>
      <c r="M2016" t="b">
        <v>0</v>
      </c>
      <c r="O2016" s="1">
        <v>46200.954571759263</v>
      </c>
    </row>
    <row r="2017" spans="1:15" x14ac:dyDescent="0.25">
      <c r="A2017">
        <v>-441530771</v>
      </c>
      <c r="B2017" t="s">
        <v>1040</v>
      </c>
      <c r="G2017">
        <v>11</v>
      </c>
      <c r="H2017" t="s">
        <v>33</v>
      </c>
      <c r="I2017">
        <v>550</v>
      </c>
      <c r="J2017">
        <v>550.9</v>
      </c>
      <c r="L2017" t="s">
        <v>12</v>
      </c>
      <c r="M2017" t="b">
        <v>0</v>
      </c>
      <c r="O2017" s="1">
        <v>46200.954571759263</v>
      </c>
    </row>
    <row r="2018" spans="1:15" x14ac:dyDescent="0.25">
      <c r="A2018">
        <v>-1919844542</v>
      </c>
      <c r="B2018" t="s">
        <v>1041</v>
      </c>
      <c r="C2018" t="s">
        <v>813</v>
      </c>
      <c r="D2018" t="s">
        <v>1020</v>
      </c>
      <c r="E2018" t="s">
        <v>313</v>
      </c>
      <c r="F2018">
        <v>50</v>
      </c>
      <c r="K2018" s="1">
        <v>46201.011157407411</v>
      </c>
      <c r="M2018" t="b">
        <v>0</v>
      </c>
      <c r="O2018" s="1">
        <v>46201.011157407411</v>
      </c>
    </row>
    <row r="2019" spans="1:15" x14ac:dyDescent="0.25">
      <c r="A2019">
        <v>-1586976101</v>
      </c>
      <c r="B2019" t="s">
        <v>1041</v>
      </c>
      <c r="G2019">
        <v>41</v>
      </c>
      <c r="H2019" t="s">
        <v>29</v>
      </c>
      <c r="I2019">
        <v>1300</v>
      </c>
      <c r="J2019">
        <v>1304</v>
      </c>
      <c r="L2019" t="s">
        <v>12</v>
      </c>
      <c r="M2019" t="b">
        <v>0</v>
      </c>
      <c r="O2019" s="1">
        <v>46201.011157407411</v>
      </c>
    </row>
    <row r="2020" spans="1:15" x14ac:dyDescent="0.25">
      <c r="A2020">
        <v>1215119168</v>
      </c>
      <c r="B2020" t="s">
        <v>1041</v>
      </c>
      <c r="G2020">
        <v>35</v>
      </c>
      <c r="H2020" t="s">
        <v>36</v>
      </c>
      <c r="I2020">
        <v>80</v>
      </c>
      <c r="J2020">
        <v>80.400000000000006</v>
      </c>
      <c r="L2020" t="s">
        <v>12</v>
      </c>
      <c r="M2020" t="b">
        <v>0</v>
      </c>
      <c r="O2020" s="1">
        <v>46201.011157407411</v>
      </c>
    </row>
    <row r="2021" spans="1:15" x14ac:dyDescent="0.25">
      <c r="A2021">
        <v>1913101889</v>
      </c>
      <c r="B2021" t="s">
        <v>1041</v>
      </c>
      <c r="G2021">
        <v>4</v>
      </c>
      <c r="H2021" t="s">
        <v>27</v>
      </c>
      <c r="I2021">
        <v>130</v>
      </c>
      <c r="J2021">
        <v>130.9</v>
      </c>
      <c r="L2021" t="s">
        <v>12</v>
      </c>
      <c r="M2021" t="b">
        <v>0</v>
      </c>
      <c r="O2021" s="1">
        <v>46201.011157407411</v>
      </c>
    </row>
    <row r="2022" spans="1:15" x14ac:dyDescent="0.25">
      <c r="A2022">
        <v>936346630</v>
      </c>
      <c r="B2022" t="s">
        <v>1042</v>
      </c>
      <c r="C2022" t="s">
        <v>424</v>
      </c>
      <c r="D2022" t="s">
        <v>685</v>
      </c>
      <c r="E2022" t="s">
        <v>340</v>
      </c>
      <c r="F2022">
        <v>450</v>
      </c>
      <c r="K2022" s="1">
        <v>46201.036435185182</v>
      </c>
      <c r="M2022" t="b">
        <v>0</v>
      </c>
      <c r="O2022" s="1">
        <v>46201.036435185182</v>
      </c>
    </row>
    <row r="2023" spans="1:15" x14ac:dyDescent="0.25">
      <c r="A2023">
        <v>-1550345969</v>
      </c>
      <c r="B2023" t="s">
        <v>1042</v>
      </c>
      <c r="G2023">
        <v>41</v>
      </c>
      <c r="H2023" t="s">
        <v>29</v>
      </c>
      <c r="I2023">
        <v>6525</v>
      </c>
      <c r="J2023">
        <v>6562.7</v>
      </c>
      <c r="L2023" t="s">
        <v>12</v>
      </c>
      <c r="M2023" t="b">
        <v>0</v>
      </c>
      <c r="O2023" s="1">
        <v>46201.036435185182</v>
      </c>
    </row>
    <row r="2024" spans="1:15" x14ac:dyDescent="0.25">
      <c r="A2024">
        <v>770269604</v>
      </c>
      <c r="B2024" t="s">
        <v>1042</v>
      </c>
      <c r="G2024">
        <v>66</v>
      </c>
      <c r="H2024" t="s">
        <v>200</v>
      </c>
      <c r="I2024">
        <v>1350</v>
      </c>
      <c r="J2024">
        <v>1361.5</v>
      </c>
      <c r="L2024" t="s">
        <v>12</v>
      </c>
      <c r="M2024" t="b">
        <v>0</v>
      </c>
      <c r="O2024" s="1">
        <v>46201.036435185182</v>
      </c>
    </row>
    <row r="2025" spans="1:15" x14ac:dyDescent="0.25">
      <c r="A2025">
        <v>-188775979</v>
      </c>
      <c r="B2025" t="s">
        <v>1042</v>
      </c>
      <c r="G2025">
        <v>16</v>
      </c>
      <c r="H2025" t="s">
        <v>13</v>
      </c>
      <c r="I2025">
        <v>585</v>
      </c>
      <c r="J2025">
        <v>581.9</v>
      </c>
      <c r="L2025" t="s">
        <v>12</v>
      </c>
      <c r="M2025" t="b">
        <v>0</v>
      </c>
      <c r="O2025" s="1">
        <v>46201.036435185182</v>
      </c>
    </row>
    <row r="2026" spans="1:15" x14ac:dyDescent="0.25">
      <c r="A2026">
        <v>1902365167</v>
      </c>
      <c r="B2026" t="s">
        <v>1043</v>
      </c>
      <c r="C2026" t="s">
        <v>358</v>
      </c>
      <c r="D2026" t="s">
        <v>359</v>
      </c>
      <c r="E2026" t="s">
        <v>336</v>
      </c>
      <c r="F2026">
        <v>50</v>
      </c>
      <c r="K2026" s="1">
        <v>46201.098564814813</v>
      </c>
      <c r="M2026" t="b">
        <v>0</v>
      </c>
      <c r="O2026" s="1">
        <v>46201.098564814813</v>
      </c>
    </row>
    <row r="2027" spans="1:15" x14ac:dyDescent="0.25">
      <c r="A2027">
        <v>-1497941756</v>
      </c>
      <c r="B2027" t="s">
        <v>1043</v>
      </c>
      <c r="G2027">
        <v>41</v>
      </c>
      <c r="H2027" t="s">
        <v>29</v>
      </c>
      <c r="I2027">
        <v>1200</v>
      </c>
      <c r="J2027">
        <v>1206.0999999999999</v>
      </c>
      <c r="L2027" t="s">
        <v>12</v>
      </c>
      <c r="M2027" t="b">
        <v>0</v>
      </c>
      <c r="O2027" s="1">
        <v>46201.098564814813</v>
      </c>
    </row>
    <row r="2028" spans="1:15" x14ac:dyDescent="0.25">
      <c r="A2028">
        <v>409902517</v>
      </c>
      <c r="B2028" t="s">
        <v>1043</v>
      </c>
      <c r="G2028">
        <v>44</v>
      </c>
      <c r="H2028" t="s">
        <v>16</v>
      </c>
      <c r="I2028">
        <v>180</v>
      </c>
      <c r="J2028">
        <v>180.2</v>
      </c>
      <c r="L2028" t="s">
        <v>12</v>
      </c>
      <c r="M2028" t="b">
        <v>0</v>
      </c>
      <c r="O2028" s="1">
        <v>46201.098564814813</v>
      </c>
    </row>
    <row r="2029" spans="1:15" x14ac:dyDescent="0.25">
      <c r="A2029">
        <v>2038376446</v>
      </c>
      <c r="B2029" t="s">
        <v>1044</v>
      </c>
      <c r="C2029" t="s">
        <v>334</v>
      </c>
      <c r="D2029" t="s">
        <v>695</v>
      </c>
      <c r="E2029" t="s">
        <v>336</v>
      </c>
      <c r="F2029">
        <v>50</v>
      </c>
      <c r="K2029" s="1">
        <v>46201.110185185185</v>
      </c>
      <c r="M2029" t="b">
        <v>0</v>
      </c>
      <c r="O2029" s="1">
        <v>46201.110185185185</v>
      </c>
    </row>
    <row r="2030" spans="1:15" x14ac:dyDescent="0.25">
      <c r="A2030">
        <v>583547815</v>
      </c>
      <c r="B2030" t="s">
        <v>1044</v>
      </c>
      <c r="G2030">
        <v>41</v>
      </c>
      <c r="H2030" t="s">
        <v>29</v>
      </c>
      <c r="I2030">
        <v>225</v>
      </c>
      <c r="J2030">
        <v>226.8</v>
      </c>
      <c r="L2030" t="s">
        <v>12</v>
      </c>
      <c r="M2030" t="b">
        <v>0</v>
      </c>
      <c r="O2030" s="1">
        <v>46201.110185185185</v>
      </c>
    </row>
    <row r="2031" spans="1:15" x14ac:dyDescent="0.25">
      <c r="A2031">
        <v>-376797604</v>
      </c>
      <c r="B2031" t="s">
        <v>1044</v>
      </c>
      <c r="G2031">
        <v>49</v>
      </c>
      <c r="H2031" t="s">
        <v>181</v>
      </c>
      <c r="I2031">
        <v>28</v>
      </c>
      <c r="J2031">
        <v>28.2</v>
      </c>
      <c r="L2031" t="s">
        <v>12</v>
      </c>
      <c r="M2031" t="b">
        <v>0</v>
      </c>
      <c r="O2031" s="1">
        <v>46201.110185185185</v>
      </c>
    </row>
    <row r="2032" spans="1:15" x14ac:dyDescent="0.25">
      <c r="A2032">
        <v>1292912173</v>
      </c>
      <c r="B2032" t="s">
        <v>1044</v>
      </c>
      <c r="G2032">
        <v>35</v>
      </c>
      <c r="H2032" t="s">
        <v>36</v>
      </c>
      <c r="I2032">
        <v>78</v>
      </c>
      <c r="J2032">
        <v>80.7</v>
      </c>
      <c r="L2032" t="s">
        <v>15</v>
      </c>
      <c r="M2032" t="b">
        <v>0</v>
      </c>
      <c r="O2032" s="1">
        <v>46201.110185185185</v>
      </c>
    </row>
    <row r="2033" spans="1:15" x14ac:dyDescent="0.25">
      <c r="A2033">
        <v>-2059473897</v>
      </c>
      <c r="B2033" t="s">
        <v>1045</v>
      </c>
      <c r="C2033" t="s">
        <v>682</v>
      </c>
      <c r="D2033" t="s">
        <v>613</v>
      </c>
      <c r="E2033" t="s">
        <v>336</v>
      </c>
      <c r="F2033">
        <v>50</v>
      </c>
      <c r="K2033" s="1">
        <v>46201.281643518516</v>
      </c>
      <c r="M2033" t="b">
        <v>0</v>
      </c>
      <c r="O2033" s="1">
        <v>46201.281643518516</v>
      </c>
    </row>
    <row r="2034" spans="1:15" x14ac:dyDescent="0.25">
      <c r="A2034">
        <v>-957601268</v>
      </c>
      <c r="B2034" t="s">
        <v>1045</v>
      </c>
      <c r="G2034">
        <v>41</v>
      </c>
      <c r="H2034" t="s">
        <v>29</v>
      </c>
      <c r="I2034">
        <v>630</v>
      </c>
      <c r="J2034">
        <v>632.79999999999995</v>
      </c>
      <c r="L2034" t="s">
        <v>12</v>
      </c>
      <c r="M2034" t="b">
        <v>0</v>
      </c>
      <c r="O2034" s="1">
        <v>46201.281643518516</v>
      </c>
    </row>
    <row r="2035" spans="1:15" x14ac:dyDescent="0.25">
      <c r="A2035">
        <v>1816800285</v>
      </c>
      <c r="B2035" t="s">
        <v>1045</v>
      </c>
      <c r="G2035">
        <v>35</v>
      </c>
      <c r="H2035" t="s">
        <v>36</v>
      </c>
      <c r="I2035">
        <v>100</v>
      </c>
      <c r="J2035">
        <v>100.6</v>
      </c>
      <c r="L2035" t="s">
        <v>12</v>
      </c>
      <c r="M2035" t="b">
        <v>0</v>
      </c>
      <c r="O2035" s="1">
        <v>46201.281643518516</v>
      </c>
    </row>
    <row r="2036" spans="1:15" x14ac:dyDescent="0.25">
      <c r="A2036">
        <v>-487862502</v>
      </c>
      <c r="B2036" t="s">
        <v>1045</v>
      </c>
      <c r="G2036">
        <v>11</v>
      </c>
      <c r="H2036" t="s">
        <v>33</v>
      </c>
      <c r="I2036">
        <v>18</v>
      </c>
      <c r="J2036">
        <v>18.899999999999999</v>
      </c>
      <c r="L2036" t="s">
        <v>15</v>
      </c>
      <c r="M2036" t="b">
        <v>0</v>
      </c>
      <c r="O2036" s="1">
        <v>46201.281643518516</v>
      </c>
    </row>
    <row r="2037" spans="1:15" x14ac:dyDescent="0.25">
      <c r="A2037">
        <v>527095555</v>
      </c>
      <c r="B2037" t="s">
        <v>1046</v>
      </c>
      <c r="C2037" t="s">
        <v>800</v>
      </c>
      <c r="D2037" t="s">
        <v>1018</v>
      </c>
      <c r="E2037" t="s">
        <v>364</v>
      </c>
      <c r="F2037">
        <v>100</v>
      </c>
      <c r="K2037" s="1">
        <v>46201.313773148147</v>
      </c>
      <c r="M2037" t="b">
        <v>0</v>
      </c>
      <c r="O2037" s="1">
        <v>46201.313773148147</v>
      </c>
    </row>
    <row r="2038" spans="1:15" x14ac:dyDescent="0.25">
      <c r="A2038">
        <v>1957985672</v>
      </c>
      <c r="B2038" t="s">
        <v>1046</v>
      </c>
      <c r="G2038">
        <v>41</v>
      </c>
      <c r="H2038" t="s">
        <v>29</v>
      </c>
      <c r="I2038">
        <v>1200</v>
      </c>
      <c r="J2038">
        <v>1201.7</v>
      </c>
      <c r="L2038" t="s">
        <v>12</v>
      </c>
      <c r="M2038" t="b">
        <v>0</v>
      </c>
      <c r="O2038" s="1">
        <v>46201.313773148147</v>
      </c>
    </row>
    <row r="2039" spans="1:15" x14ac:dyDescent="0.25">
      <c r="A2039">
        <v>1719812329</v>
      </c>
      <c r="B2039" t="s">
        <v>1046</v>
      </c>
      <c r="G2039">
        <v>35</v>
      </c>
      <c r="H2039" t="s">
        <v>36</v>
      </c>
      <c r="I2039">
        <v>200</v>
      </c>
      <c r="J2039">
        <v>200.7</v>
      </c>
      <c r="L2039" t="s">
        <v>12</v>
      </c>
      <c r="M2039" t="b">
        <v>0</v>
      </c>
      <c r="O2039" s="1">
        <v>46201.313773148147</v>
      </c>
    </row>
    <row r="2040" spans="1:15" x14ac:dyDescent="0.25">
      <c r="A2040">
        <v>2021048054</v>
      </c>
      <c r="B2040" t="s">
        <v>1046</v>
      </c>
      <c r="G2040">
        <v>44</v>
      </c>
      <c r="H2040" t="s">
        <v>16</v>
      </c>
      <c r="I2040">
        <v>80</v>
      </c>
      <c r="J2040">
        <v>80.599999999999994</v>
      </c>
      <c r="L2040" t="s">
        <v>12</v>
      </c>
      <c r="M2040" t="b">
        <v>0</v>
      </c>
      <c r="O2040" s="1">
        <v>46201.313773148147</v>
      </c>
    </row>
    <row r="2041" spans="1:15" x14ac:dyDescent="0.25">
      <c r="A2041">
        <v>-1103508464</v>
      </c>
      <c r="B2041" t="s">
        <v>1047</v>
      </c>
      <c r="C2041" t="s">
        <v>688</v>
      </c>
      <c r="D2041" t="s">
        <v>371</v>
      </c>
      <c r="E2041" t="s">
        <v>364</v>
      </c>
      <c r="F2041">
        <v>50</v>
      </c>
      <c r="K2041" s="1">
        <v>46201.369328703702</v>
      </c>
      <c r="M2041" t="b">
        <v>0</v>
      </c>
      <c r="O2041" s="1">
        <v>46201.369328703702</v>
      </c>
    </row>
    <row r="2042" spans="1:15" x14ac:dyDescent="0.25">
      <c r="A2042">
        <v>293551825</v>
      </c>
      <c r="B2042" t="s">
        <v>1047</v>
      </c>
      <c r="G2042">
        <v>41</v>
      </c>
      <c r="H2042" t="s">
        <v>29</v>
      </c>
      <c r="I2042">
        <v>300</v>
      </c>
      <c r="J2042">
        <v>302.39999999999998</v>
      </c>
      <c r="L2042" t="s">
        <v>12</v>
      </c>
      <c r="M2042" t="b">
        <v>0</v>
      </c>
      <c r="O2042" s="1">
        <v>46201.369328703702</v>
      </c>
    </row>
    <row r="2043" spans="1:15" x14ac:dyDescent="0.25">
      <c r="A2043">
        <v>-988950338</v>
      </c>
      <c r="B2043" t="s">
        <v>1047</v>
      </c>
      <c r="G2043">
        <v>35</v>
      </c>
      <c r="H2043" t="s">
        <v>36</v>
      </c>
      <c r="I2043">
        <v>36</v>
      </c>
      <c r="J2043">
        <v>36.299999999999997</v>
      </c>
      <c r="L2043" t="s">
        <v>12</v>
      </c>
      <c r="M2043" t="b">
        <v>0</v>
      </c>
      <c r="O2043" s="1">
        <v>46201.369328703702</v>
      </c>
    </row>
    <row r="2044" spans="1:15" x14ac:dyDescent="0.25">
      <c r="A2044">
        <v>108553575</v>
      </c>
      <c r="B2044" t="s">
        <v>1047</v>
      </c>
      <c r="G2044">
        <v>44</v>
      </c>
      <c r="H2044" t="s">
        <v>16</v>
      </c>
      <c r="I2044">
        <v>3.5</v>
      </c>
      <c r="J2044">
        <v>3.7</v>
      </c>
      <c r="L2044" t="s">
        <v>15</v>
      </c>
      <c r="M2044" t="b">
        <v>0</v>
      </c>
      <c r="O2044" s="1">
        <v>46201.369328703702</v>
      </c>
    </row>
    <row r="2045" spans="1:15" x14ac:dyDescent="0.25">
      <c r="A2045">
        <v>-452698852</v>
      </c>
      <c r="B2045" t="s">
        <v>1048</v>
      </c>
      <c r="C2045" t="s">
        <v>718</v>
      </c>
      <c r="D2045" t="s">
        <v>719</v>
      </c>
      <c r="E2045" t="s">
        <v>336</v>
      </c>
      <c r="F2045">
        <v>270</v>
      </c>
      <c r="K2045" s="1">
        <v>46201.372893518521</v>
      </c>
      <c r="M2045" t="b">
        <v>0</v>
      </c>
      <c r="O2045" s="1">
        <v>46201.372893518521</v>
      </c>
    </row>
    <row r="2046" spans="1:15" x14ac:dyDescent="0.25">
      <c r="A2046">
        <v>-395606547</v>
      </c>
      <c r="B2046" t="s">
        <v>1048</v>
      </c>
      <c r="H2046" t="s">
        <v>29</v>
      </c>
      <c r="I2046">
        <v>6750</v>
      </c>
      <c r="J2046">
        <v>6749.8</v>
      </c>
      <c r="L2046" t="s">
        <v>12</v>
      </c>
      <c r="M2046" t="b">
        <v>0</v>
      </c>
      <c r="O2046" s="1">
        <v>46201.372893518521</v>
      </c>
    </row>
    <row r="2047" spans="1:15" x14ac:dyDescent="0.25">
      <c r="A2047">
        <v>259618986</v>
      </c>
      <c r="B2047" t="s">
        <v>1048</v>
      </c>
      <c r="G2047">
        <v>16</v>
      </c>
      <c r="H2047" t="s">
        <v>13</v>
      </c>
      <c r="I2047">
        <v>135</v>
      </c>
      <c r="J2047">
        <v>135.9</v>
      </c>
      <c r="L2047" t="s">
        <v>12</v>
      </c>
      <c r="M2047" t="b">
        <v>0</v>
      </c>
      <c r="O2047" s="1">
        <v>46201.372893518521</v>
      </c>
    </row>
    <row r="2048" spans="1:15" x14ac:dyDescent="0.25">
      <c r="A2048">
        <v>860025315</v>
      </c>
      <c r="B2048" t="s">
        <v>1048</v>
      </c>
      <c r="G2048">
        <v>68</v>
      </c>
      <c r="H2048" t="s">
        <v>14</v>
      </c>
      <c r="I2048">
        <v>27</v>
      </c>
      <c r="J2048">
        <v>27.8</v>
      </c>
      <c r="L2048" t="s">
        <v>15</v>
      </c>
      <c r="M2048" t="b">
        <v>0</v>
      </c>
      <c r="O2048" s="1">
        <v>46201.372893518521</v>
      </c>
    </row>
    <row r="2049" spans="1:15" x14ac:dyDescent="0.25">
      <c r="A2049">
        <v>331359604</v>
      </c>
      <c r="B2049" t="s">
        <v>1049</v>
      </c>
      <c r="C2049" t="s">
        <v>924</v>
      </c>
      <c r="D2049" t="s">
        <v>497</v>
      </c>
      <c r="E2049" t="s">
        <v>336</v>
      </c>
      <c r="F2049">
        <v>50</v>
      </c>
      <c r="K2049" s="1">
        <v>46201.393854166665</v>
      </c>
      <c r="M2049" t="b">
        <v>0</v>
      </c>
      <c r="O2049" s="1">
        <v>46201.393854166665</v>
      </c>
    </row>
    <row r="2050" spans="1:15" x14ac:dyDescent="0.25">
      <c r="A2050">
        <v>862768485</v>
      </c>
      <c r="B2050" t="s">
        <v>1049</v>
      </c>
      <c r="G2050">
        <v>41</v>
      </c>
      <c r="H2050" t="s">
        <v>29</v>
      </c>
      <c r="I2050">
        <v>425</v>
      </c>
      <c r="J2050">
        <v>425.8</v>
      </c>
      <c r="L2050" t="s">
        <v>12</v>
      </c>
      <c r="M2050" t="b">
        <v>0</v>
      </c>
      <c r="O2050" s="1">
        <v>46201.393854166665</v>
      </c>
    </row>
    <row r="2051" spans="1:15" x14ac:dyDescent="0.25">
      <c r="A2051">
        <v>-353838910</v>
      </c>
      <c r="B2051" t="s">
        <v>1049</v>
      </c>
      <c r="G2051">
        <v>35</v>
      </c>
      <c r="H2051" t="s">
        <v>36</v>
      </c>
      <c r="I2051">
        <v>58.5</v>
      </c>
      <c r="J2051">
        <v>58</v>
      </c>
      <c r="L2051" t="s">
        <v>12</v>
      </c>
      <c r="M2051" t="b">
        <v>0</v>
      </c>
      <c r="O2051" s="1">
        <v>46201.393854166665</v>
      </c>
    </row>
    <row r="2052" spans="1:15" x14ac:dyDescent="0.25">
      <c r="A2052">
        <v>1680631323</v>
      </c>
      <c r="B2052" t="s">
        <v>1049</v>
      </c>
      <c r="G2052">
        <v>16</v>
      </c>
      <c r="H2052" t="s">
        <v>13</v>
      </c>
      <c r="I2052">
        <v>115</v>
      </c>
      <c r="J2052">
        <v>115.6</v>
      </c>
      <c r="L2052" t="s">
        <v>12</v>
      </c>
      <c r="M2052" t="b">
        <v>0</v>
      </c>
      <c r="O2052" s="1">
        <v>46201.393854166665</v>
      </c>
    </row>
    <row r="2053" spans="1:15" x14ac:dyDescent="0.25">
      <c r="A2053">
        <v>-1547278952</v>
      </c>
      <c r="B2053" t="s">
        <v>1050</v>
      </c>
      <c r="C2053" t="s">
        <v>430</v>
      </c>
      <c r="D2053" t="s">
        <v>1051</v>
      </c>
      <c r="E2053" t="s">
        <v>340</v>
      </c>
      <c r="F2053">
        <v>50</v>
      </c>
      <c r="K2053" s="1">
        <v>46201.422222222223</v>
      </c>
      <c r="M2053" t="b">
        <v>0</v>
      </c>
      <c r="O2053" s="1">
        <v>46201.422222222223</v>
      </c>
    </row>
    <row r="2054" spans="1:15" x14ac:dyDescent="0.25">
      <c r="A2054">
        <v>1999006649</v>
      </c>
      <c r="B2054" t="s">
        <v>1050</v>
      </c>
      <c r="G2054">
        <v>41</v>
      </c>
      <c r="H2054" t="s">
        <v>29</v>
      </c>
      <c r="I2054">
        <v>230</v>
      </c>
      <c r="J2054">
        <v>229.3</v>
      </c>
      <c r="L2054" t="s">
        <v>12</v>
      </c>
      <c r="M2054" t="b">
        <v>0</v>
      </c>
      <c r="O2054" s="1">
        <v>46201.422222222223</v>
      </c>
    </row>
    <row r="2055" spans="1:15" x14ac:dyDescent="0.25">
      <c r="A2055">
        <v>-2016860794</v>
      </c>
      <c r="B2055" t="s">
        <v>1050</v>
      </c>
      <c r="G2055">
        <v>35</v>
      </c>
      <c r="H2055" t="s">
        <v>36</v>
      </c>
      <c r="I2055">
        <v>69</v>
      </c>
      <c r="J2055">
        <v>69.3</v>
      </c>
      <c r="L2055" t="s">
        <v>12</v>
      </c>
      <c r="M2055" t="b">
        <v>0</v>
      </c>
      <c r="O2055" s="1">
        <v>46201.422222222223</v>
      </c>
    </row>
    <row r="2056" spans="1:15" x14ac:dyDescent="0.25">
      <c r="A2056">
        <v>-644744049</v>
      </c>
      <c r="B2056" t="s">
        <v>1050</v>
      </c>
      <c r="G2056">
        <v>44</v>
      </c>
      <c r="H2056" t="s">
        <v>16</v>
      </c>
      <c r="I2056">
        <v>3.4</v>
      </c>
      <c r="J2056">
        <v>4.0999999999999996</v>
      </c>
      <c r="L2056" t="s">
        <v>15</v>
      </c>
      <c r="M2056" t="b">
        <v>0</v>
      </c>
      <c r="O2056" s="1">
        <v>46201.422222222223</v>
      </c>
    </row>
    <row r="2057" spans="1:15" x14ac:dyDescent="0.25">
      <c r="A2057">
        <v>1475385087</v>
      </c>
      <c r="B2057" t="s">
        <v>1052</v>
      </c>
      <c r="C2057" t="s">
        <v>1053</v>
      </c>
      <c r="D2057" t="s">
        <v>589</v>
      </c>
      <c r="E2057" t="s">
        <v>340</v>
      </c>
      <c r="F2057">
        <v>50</v>
      </c>
      <c r="K2057" s="1">
        <v>46201.515902777777</v>
      </c>
      <c r="M2057" t="b">
        <v>0</v>
      </c>
      <c r="O2057" s="1">
        <v>46201.515902777777</v>
      </c>
    </row>
    <row r="2058" spans="1:15" x14ac:dyDescent="0.25">
      <c r="A2058">
        <v>-1582062380</v>
      </c>
      <c r="B2058" t="s">
        <v>1052</v>
      </c>
      <c r="G2058">
        <v>58</v>
      </c>
      <c r="H2058" t="s">
        <v>32</v>
      </c>
      <c r="I2058">
        <v>600</v>
      </c>
      <c r="J2058">
        <v>600.70000000000005</v>
      </c>
      <c r="L2058" t="s">
        <v>12</v>
      </c>
      <c r="M2058" t="b">
        <v>0</v>
      </c>
      <c r="O2058" s="1">
        <v>46201.515902777777</v>
      </c>
    </row>
    <row r="2059" spans="1:15" x14ac:dyDescent="0.25">
      <c r="A2059">
        <v>-475369147</v>
      </c>
      <c r="B2059" t="s">
        <v>1052</v>
      </c>
      <c r="G2059">
        <v>35</v>
      </c>
      <c r="H2059" t="s">
        <v>36</v>
      </c>
      <c r="I2059">
        <v>80</v>
      </c>
      <c r="J2059">
        <v>79.7</v>
      </c>
      <c r="L2059" t="s">
        <v>12</v>
      </c>
      <c r="M2059" t="b">
        <v>0</v>
      </c>
      <c r="O2059" s="1">
        <v>46201.515902777777</v>
      </c>
    </row>
    <row r="2060" spans="1:15" x14ac:dyDescent="0.25">
      <c r="A2060">
        <v>-554047710</v>
      </c>
      <c r="B2060" t="s">
        <v>1052</v>
      </c>
      <c r="G2060">
        <v>4</v>
      </c>
      <c r="H2060" t="s">
        <v>27</v>
      </c>
      <c r="I2060">
        <v>90</v>
      </c>
      <c r="J2060">
        <v>90</v>
      </c>
      <c r="L2060" t="s">
        <v>12</v>
      </c>
      <c r="M2060" t="b">
        <v>0</v>
      </c>
      <c r="O2060" s="1">
        <v>46201.515902777777</v>
      </c>
    </row>
    <row r="2061" spans="1:15" x14ac:dyDescent="0.25">
      <c r="A2061">
        <v>1444293883</v>
      </c>
      <c r="B2061" t="s">
        <v>1052</v>
      </c>
      <c r="G2061">
        <v>41</v>
      </c>
      <c r="H2061" t="s">
        <v>29</v>
      </c>
      <c r="I2061">
        <v>120</v>
      </c>
      <c r="J2061">
        <v>120.1</v>
      </c>
      <c r="L2061" t="s">
        <v>12</v>
      </c>
      <c r="M2061" t="b">
        <v>0</v>
      </c>
      <c r="O2061" s="1">
        <v>46201.515902777777</v>
      </c>
    </row>
    <row r="2062" spans="1:15" x14ac:dyDescent="0.25">
      <c r="A2062">
        <v>-1508939232</v>
      </c>
      <c r="B2062" t="s">
        <v>1054</v>
      </c>
      <c r="C2062" t="s">
        <v>430</v>
      </c>
      <c r="D2062" t="s">
        <v>1051</v>
      </c>
      <c r="E2062" t="s">
        <v>340</v>
      </c>
      <c r="F2062">
        <v>50</v>
      </c>
      <c r="K2062" s="1">
        <v>46201.51730324074</v>
      </c>
      <c r="M2062" t="b">
        <v>0</v>
      </c>
      <c r="O2062" s="1">
        <v>46201.51730324074</v>
      </c>
    </row>
    <row r="2063" spans="1:15" x14ac:dyDescent="0.25">
      <c r="A2063">
        <v>-233936991</v>
      </c>
      <c r="B2063" t="s">
        <v>1054</v>
      </c>
      <c r="G2063">
        <v>41</v>
      </c>
      <c r="H2063" t="s">
        <v>29</v>
      </c>
      <c r="I2063">
        <v>250</v>
      </c>
      <c r="J2063">
        <v>251.4</v>
      </c>
      <c r="L2063" t="s">
        <v>12</v>
      </c>
      <c r="M2063" t="b">
        <v>0</v>
      </c>
      <c r="O2063" s="1">
        <v>46201.51730324074</v>
      </c>
    </row>
    <row r="2064" spans="1:15" x14ac:dyDescent="0.25">
      <c r="A2064">
        <v>14867790</v>
      </c>
      <c r="B2064" t="s">
        <v>1054</v>
      </c>
      <c r="G2064">
        <v>35</v>
      </c>
      <c r="H2064" t="s">
        <v>36</v>
      </c>
      <c r="I2064">
        <v>90</v>
      </c>
      <c r="J2064">
        <v>90.6</v>
      </c>
      <c r="L2064" t="s">
        <v>12</v>
      </c>
      <c r="M2064" t="b">
        <v>0</v>
      </c>
      <c r="O2064" s="1">
        <v>46201.51730324074</v>
      </c>
    </row>
    <row r="2065" spans="1:15" x14ac:dyDescent="0.25">
      <c r="A2065">
        <v>1211431607</v>
      </c>
      <c r="B2065" t="s">
        <v>1054</v>
      </c>
      <c r="G2065">
        <v>44</v>
      </c>
      <c r="H2065" t="s">
        <v>16</v>
      </c>
      <c r="I2065">
        <v>3.5</v>
      </c>
      <c r="J2065">
        <v>4.3</v>
      </c>
      <c r="L2065" t="s">
        <v>15</v>
      </c>
      <c r="M2065" t="b">
        <v>0</v>
      </c>
      <c r="O2065" s="1">
        <v>46201.51730324074</v>
      </c>
    </row>
    <row r="2066" spans="1:15" x14ac:dyDescent="0.25">
      <c r="A2066">
        <v>-1039456520</v>
      </c>
      <c r="B2066" t="s">
        <v>1055</v>
      </c>
      <c r="C2066" t="s">
        <v>382</v>
      </c>
      <c r="D2066" t="s">
        <v>383</v>
      </c>
      <c r="E2066" t="s">
        <v>364</v>
      </c>
      <c r="F2066">
        <v>250</v>
      </c>
      <c r="K2066" s="1">
        <v>46201.528321759259</v>
      </c>
      <c r="M2066" t="b">
        <v>0</v>
      </c>
      <c r="O2066" s="1">
        <v>46201.528321759259</v>
      </c>
    </row>
    <row r="2067" spans="1:15" x14ac:dyDescent="0.25">
      <c r="A2067">
        <v>116959641</v>
      </c>
      <c r="B2067" t="s">
        <v>1055</v>
      </c>
      <c r="G2067">
        <v>41</v>
      </c>
      <c r="H2067" t="s">
        <v>29</v>
      </c>
      <c r="I2067">
        <v>5475</v>
      </c>
      <c r="J2067">
        <v>5461.4</v>
      </c>
      <c r="L2067" t="s">
        <v>12</v>
      </c>
      <c r="M2067" t="b">
        <v>0</v>
      </c>
      <c r="O2067" s="1">
        <v>46201.528321759259</v>
      </c>
    </row>
    <row r="2068" spans="1:15" x14ac:dyDescent="0.25">
      <c r="A2068">
        <v>-883603994</v>
      </c>
      <c r="B2068" t="s">
        <v>1055</v>
      </c>
      <c r="G2068">
        <v>35</v>
      </c>
      <c r="H2068" t="s">
        <v>36</v>
      </c>
      <c r="I2068">
        <v>835</v>
      </c>
      <c r="J2068">
        <v>843.1</v>
      </c>
      <c r="L2068" t="s">
        <v>12</v>
      </c>
      <c r="M2068" t="b">
        <v>0</v>
      </c>
      <c r="O2068" s="1">
        <v>46201.528321759259</v>
      </c>
    </row>
    <row r="2069" spans="1:15" x14ac:dyDescent="0.25">
      <c r="A2069">
        <v>-2013967765</v>
      </c>
      <c r="B2069" t="s">
        <v>1056</v>
      </c>
      <c r="C2069" t="s">
        <v>430</v>
      </c>
      <c r="D2069" t="s">
        <v>1051</v>
      </c>
      <c r="E2069" t="s">
        <v>340</v>
      </c>
      <c r="F2069">
        <v>50</v>
      </c>
      <c r="K2069" s="1">
        <v>46201.555995370371</v>
      </c>
      <c r="M2069" t="b">
        <v>0</v>
      </c>
      <c r="O2069" s="1">
        <v>46201.555995370371</v>
      </c>
    </row>
    <row r="2070" spans="1:15" x14ac:dyDescent="0.25">
      <c r="A2070">
        <v>179975888</v>
      </c>
      <c r="B2070" t="s">
        <v>1056</v>
      </c>
      <c r="G2070">
        <v>41</v>
      </c>
      <c r="H2070" t="s">
        <v>29</v>
      </c>
      <c r="I2070">
        <v>250</v>
      </c>
      <c r="J2070">
        <v>250.7</v>
      </c>
      <c r="L2070" t="s">
        <v>12</v>
      </c>
      <c r="M2070" t="b">
        <v>0</v>
      </c>
      <c r="O2070" s="1">
        <v>46201.555995370371</v>
      </c>
    </row>
    <row r="2071" spans="1:15" x14ac:dyDescent="0.25">
      <c r="A2071">
        <v>-738557295</v>
      </c>
      <c r="B2071" t="s">
        <v>1056</v>
      </c>
      <c r="G2071">
        <v>35</v>
      </c>
      <c r="H2071" t="s">
        <v>36</v>
      </c>
      <c r="I2071">
        <v>110</v>
      </c>
      <c r="J2071">
        <v>110.8</v>
      </c>
      <c r="L2071" t="s">
        <v>12</v>
      </c>
      <c r="M2071" t="b">
        <v>0</v>
      </c>
      <c r="O2071" s="1">
        <v>46201.555995370371</v>
      </c>
    </row>
    <row r="2072" spans="1:15" x14ac:dyDescent="0.25">
      <c r="A2072">
        <v>-476628610</v>
      </c>
      <c r="B2072" t="s">
        <v>1056</v>
      </c>
      <c r="G2072">
        <v>44</v>
      </c>
      <c r="H2072" t="s">
        <v>16</v>
      </c>
      <c r="I2072">
        <v>2.5</v>
      </c>
      <c r="J2072">
        <v>2.6</v>
      </c>
      <c r="L2072" t="s">
        <v>15</v>
      </c>
      <c r="M2072" t="b">
        <v>0</v>
      </c>
      <c r="O2072" s="1">
        <v>46201.555995370371</v>
      </c>
    </row>
    <row r="2073" spans="1:15" x14ac:dyDescent="0.25">
      <c r="A2073">
        <v>-1379854314</v>
      </c>
      <c r="B2073" t="s">
        <v>1057</v>
      </c>
      <c r="C2073" t="s">
        <v>1058</v>
      </c>
      <c r="D2073" t="s">
        <v>1059</v>
      </c>
      <c r="E2073" t="s">
        <v>313</v>
      </c>
      <c r="F2073">
        <v>50</v>
      </c>
      <c r="K2073" s="1">
        <v>46201.569039351853</v>
      </c>
      <c r="M2073" t="b">
        <v>0</v>
      </c>
      <c r="O2073" s="1">
        <v>46201.569039351853</v>
      </c>
    </row>
    <row r="2074" spans="1:15" x14ac:dyDescent="0.25">
      <c r="A2074">
        <v>504692703</v>
      </c>
      <c r="B2074" t="s">
        <v>1057</v>
      </c>
      <c r="G2074">
        <v>41</v>
      </c>
      <c r="H2074" t="s">
        <v>29</v>
      </c>
      <c r="I2074">
        <v>530</v>
      </c>
      <c r="J2074">
        <v>534.79999999999995</v>
      </c>
      <c r="L2074" t="s">
        <v>12</v>
      </c>
      <c r="M2074" t="b">
        <v>0</v>
      </c>
      <c r="O2074" s="1">
        <v>46201.569039351853</v>
      </c>
    </row>
    <row r="2075" spans="1:15" x14ac:dyDescent="0.25">
      <c r="A2075">
        <v>72569908</v>
      </c>
      <c r="B2075" t="s">
        <v>1057</v>
      </c>
      <c r="G2075">
        <v>35</v>
      </c>
      <c r="H2075" t="s">
        <v>36</v>
      </c>
      <c r="I2075">
        <v>96</v>
      </c>
      <c r="J2075">
        <v>96.9</v>
      </c>
      <c r="L2075" t="s">
        <v>12</v>
      </c>
      <c r="M2075" t="b">
        <v>0</v>
      </c>
      <c r="O2075" s="1">
        <v>46201.569039351853</v>
      </c>
    </row>
    <row r="2076" spans="1:15" x14ac:dyDescent="0.25">
      <c r="A2076">
        <v>-1454602971</v>
      </c>
      <c r="B2076" t="s">
        <v>1057</v>
      </c>
      <c r="G2076">
        <v>44</v>
      </c>
      <c r="H2076" t="s">
        <v>16</v>
      </c>
      <c r="I2076">
        <v>5.4</v>
      </c>
      <c r="J2076">
        <v>5.2</v>
      </c>
      <c r="L2076" t="s">
        <v>15</v>
      </c>
      <c r="M2076" t="b">
        <v>0</v>
      </c>
      <c r="O2076" s="1">
        <v>46201.569039351853</v>
      </c>
    </row>
    <row r="2077" spans="1:15" x14ac:dyDescent="0.25">
      <c r="A2077">
        <v>-766335614</v>
      </c>
      <c r="B2077" t="s">
        <v>1060</v>
      </c>
      <c r="C2077" t="s">
        <v>382</v>
      </c>
      <c r="D2077" t="s">
        <v>383</v>
      </c>
      <c r="E2077" t="s">
        <v>364</v>
      </c>
      <c r="F2077">
        <v>250</v>
      </c>
      <c r="K2077" s="1">
        <v>46201.574699074074</v>
      </c>
      <c r="M2077" t="b">
        <v>0</v>
      </c>
      <c r="O2077" s="1">
        <v>46201.574699074074</v>
      </c>
    </row>
    <row r="2078" spans="1:15" x14ac:dyDescent="0.25">
      <c r="A2078">
        <v>-1883642917</v>
      </c>
      <c r="B2078" t="s">
        <v>1060</v>
      </c>
      <c r="G2078">
        <v>41</v>
      </c>
      <c r="H2078" t="s">
        <v>29</v>
      </c>
      <c r="I2078">
        <v>6000</v>
      </c>
      <c r="J2078">
        <v>6035.1</v>
      </c>
      <c r="L2078" t="s">
        <v>12</v>
      </c>
      <c r="M2078" t="b">
        <v>0</v>
      </c>
      <c r="O2078" s="1">
        <v>46201.574699074074</v>
      </c>
    </row>
    <row r="2079" spans="1:15" x14ac:dyDescent="0.25">
      <c r="A2079">
        <v>908316544</v>
      </c>
      <c r="B2079" t="s">
        <v>1060</v>
      </c>
      <c r="G2079">
        <v>35</v>
      </c>
      <c r="H2079" t="s">
        <v>36</v>
      </c>
      <c r="I2079">
        <v>600</v>
      </c>
      <c r="J2079">
        <v>601.1</v>
      </c>
      <c r="L2079" t="s">
        <v>12</v>
      </c>
      <c r="M2079" t="b">
        <v>0</v>
      </c>
      <c r="O2079" s="1">
        <v>46201.574699074074</v>
      </c>
    </row>
    <row r="2080" spans="1:15" x14ac:dyDescent="0.25">
      <c r="A2080">
        <v>280525185</v>
      </c>
      <c r="B2080" t="s">
        <v>1061</v>
      </c>
      <c r="C2080" t="s">
        <v>800</v>
      </c>
      <c r="D2080" t="s">
        <v>757</v>
      </c>
      <c r="E2080" t="s">
        <v>364</v>
      </c>
      <c r="F2080">
        <v>320</v>
      </c>
      <c r="K2080" s="1">
        <v>46201.577499999999</v>
      </c>
      <c r="M2080" t="b">
        <v>0</v>
      </c>
      <c r="O2080" s="1">
        <v>46201.577499999999</v>
      </c>
    </row>
    <row r="2081" spans="1:15" x14ac:dyDescent="0.25">
      <c r="A2081">
        <v>1222066606</v>
      </c>
      <c r="B2081" t="s">
        <v>1061</v>
      </c>
      <c r="G2081">
        <v>41</v>
      </c>
      <c r="H2081" t="s">
        <v>29</v>
      </c>
      <c r="I2081">
        <v>3993.6</v>
      </c>
      <c r="J2081">
        <v>4014.5</v>
      </c>
      <c r="L2081" t="s">
        <v>12</v>
      </c>
      <c r="M2081" t="b">
        <v>0</v>
      </c>
      <c r="O2081" s="1">
        <v>46201.577499999999</v>
      </c>
    </row>
    <row r="2082" spans="1:15" x14ac:dyDescent="0.25">
      <c r="A2082">
        <v>-1202135145</v>
      </c>
      <c r="B2082" t="s">
        <v>1061</v>
      </c>
      <c r="G2082">
        <v>35</v>
      </c>
      <c r="H2082" t="s">
        <v>36</v>
      </c>
      <c r="I2082">
        <v>291.2</v>
      </c>
      <c r="J2082">
        <v>292.89999999999998</v>
      </c>
      <c r="L2082" t="s">
        <v>12</v>
      </c>
      <c r="M2082" t="b">
        <v>0</v>
      </c>
      <c r="O2082" s="1">
        <v>46201.577499999999</v>
      </c>
    </row>
    <row r="2083" spans="1:15" x14ac:dyDescent="0.25">
      <c r="A2083">
        <v>1933637516</v>
      </c>
      <c r="B2083" t="s">
        <v>1061</v>
      </c>
      <c r="G2083">
        <v>44</v>
      </c>
      <c r="H2083" t="s">
        <v>16</v>
      </c>
      <c r="I2083">
        <v>307.2</v>
      </c>
      <c r="J2083">
        <v>306.10000000000002</v>
      </c>
      <c r="L2083" t="s">
        <v>12</v>
      </c>
      <c r="M2083" t="b">
        <v>0</v>
      </c>
      <c r="O2083" s="1">
        <v>46201.577499999999</v>
      </c>
    </row>
    <row r="2084" spans="1:15" x14ac:dyDescent="0.25">
      <c r="A2084">
        <v>-942453859</v>
      </c>
      <c r="B2084" t="s">
        <v>1062</v>
      </c>
      <c r="C2084" t="s">
        <v>382</v>
      </c>
      <c r="D2084" t="s">
        <v>383</v>
      </c>
      <c r="E2084" t="s">
        <v>364</v>
      </c>
      <c r="F2084">
        <v>450</v>
      </c>
      <c r="K2084" s="1">
        <v>46201.614374999997</v>
      </c>
      <c r="M2084" t="b">
        <v>0</v>
      </c>
      <c r="O2084" s="1">
        <v>46201.614374999997</v>
      </c>
    </row>
    <row r="2085" spans="1:15" x14ac:dyDescent="0.25">
      <c r="A2085">
        <v>-1940694886</v>
      </c>
      <c r="B2085" t="s">
        <v>1062</v>
      </c>
      <c r="G2085">
        <v>41</v>
      </c>
      <c r="H2085" t="s">
        <v>29</v>
      </c>
      <c r="I2085">
        <v>10800</v>
      </c>
      <c r="J2085">
        <v>10801.9</v>
      </c>
      <c r="L2085" t="s">
        <v>12</v>
      </c>
      <c r="M2085" t="b">
        <v>0</v>
      </c>
      <c r="O2085" s="1">
        <v>46201.614374999997</v>
      </c>
    </row>
    <row r="2086" spans="1:15" x14ac:dyDescent="0.25">
      <c r="A2086">
        <v>817950483</v>
      </c>
      <c r="B2086" t="s">
        <v>1062</v>
      </c>
      <c r="G2086">
        <v>35</v>
      </c>
      <c r="H2086" t="s">
        <v>36</v>
      </c>
      <c r="I2086">
        <v>1260</v>
      </c>
      <c r="J2086">
        <v>1253.3</v>
      </c>
      <c r="L2086" t="s">
        <v>12</v>
      </c>
      <c r="M2086" t="b">
        <v>0</v>
      </c>
      <c r="O2086" s="1">
        <v>46201.614374999997</v>
      </c>
    </row>
    <row r="2087" spans="1:15" x14ac:dyDescent="0.25">
      <c r="A2087">
        <v>698823728</v>
      </c>
      <c r="B2087" t="s">
        <v>1063</v>
      </c>
      <c r="C2087" t="s">
        <v>1064</v>
      </c>
      <c r="D2087" t="s">
        <v>1065</v>
      </c>
      <c r="E2087" t="s">
        <v>336</v>
      </c>
      <c r="F2087">
        <v>50</v>
      </c>
      <c r="K2087" s="1">
        <v>46201.767858796295</v>
      </c>
      <c r="M2087" t="b">
        <v>0</v>
      </c>
      <c r="O2087" s="1">
        <v>46201.767858796295</v>
      </c>
    </row>
    <row r="2088" spans="1:15" x14ac:dyDescent="0.25">
      <c r="A2088">
        <v>-1488499599</v>
      </c>
      <c r="B2088" t="s">
        <v>1063</v>
      </c>
      <c r="G2088">
        <v>41</v>
      </c>
      <c r="H2088" t="s">
        <v>29</v>
      </c>
      <c r="I2088">
        <v>375</v>
      </c>
      <c r="J2088">
        <v>378.4</v>
      </c>
      <c r="L2088" t="s">
        <v>12</v>
      </c>
      <c r="M2088" t="b">
        <v>0</v>
      </c>
      <c r="O2088" s="1">
        <v>46201.767858796295</v>
      </c>
    </row>
    <row r="2089" spans="1:15" x14ac:dyDescent="0.25">
      <c r="A2089">
        <v>494269918</v>
      </c>
      <c r="B2089" t="s">
        <v>1063</v>
      </c>
      <c r="G2089">
        <v>16</v>
      </c>
      <c r="H2089" t="s">
        <v>13</v>
      </c>
      <c r="I2089">
        <v>55</v>
      </c>
      <c r="J2089">
        <v>55.5</v>
      </c>
      <c r="L2089" t="s">
        <v>12</v>
      </c>
      <c r="M2089" t="b">
        <v>0</v>
      </c>
      <c r="O2089" s="1">
        <v>46201.767858796295</v>
      </c>
    </row>
    <row r="2090" spans="1:15" x14ac:dyDescent="0.25">
      <c r="A2090">
        <v>-903762937</v>
      </c>
      <c r="B2090" t="s">
        <v>1063</v>
      </c>
      <c r="G2090">
        <v>35</v>
      </c>
      <c r="H2090" t="s">
        <v>36</v>
      </c>
      <c r="I2090">
        <v>67.5</v>
      </c>
      <c r="J2090">
        <v>67.599999999999994</v>
      </c>
      <c r="L2090" t="s">
        <v>12</v>
      </c>
      <c r="M2090" t="b">
        <v>0</v>
      </c>
      <c r="O2090" s="1">
        <v>46201.767858796295</v>
      </c>
    </row>
    <row r="2091" spans="1:15" x14ac:dyDescent="0.25">
      <c r="A2091">
        <v>-1916073723</v>
      </c>
      <c r="B2091" t="s">
        <v>1066</v>
      </c>
      <c r="C2091" t="s">
        <v>507</v>
      </c>
      <c r="D2091" t="s">
        <v>217</v>
      </c>
      <c r="E2091" t="s">
        <v>313</v>
      </c>
      <c r="F2091">
        <v>250</v>
      </c>
      <c r="K2091" s="1">
        <v>46201.784004629626</v>
      </c>
      <c r="M2091" t="b">
        <v>0</v>
      </c>
      <c r="O2091" s="1">
        <v>46201.784004629626</v>
      </c>
    </row>
    <row r="2092" spans="1:15" x14ac:dyDescent="0.25">
      <c r="A2092">
        <v>1057690594</v>
      </c>
      <c r="B2092" t="s">
        <v>1066</v>
      </c>
      <c r="G2092">
        <v>41</v>
      </c>
      <c r="H2092" t="s">
        <v>29</v>
      </c>
      <c r="I2092">
        <v>5000</v>
      </c>
      <c r="J2092">
        <v>5036.6000000000004</v>
      </c>
      <c r="L2092" t="s">
        <v>12</v>
      </c>
      <c r="M2092" t="b">
        <v>0</v>
      </c>
      <c r="O2092" s="1">
        <v>46201.784004629626</v>
      </c>
    </row>
    <row r="2093" spans="1:15" x14ac:dyDescent="0.25">
      <c r="A2093">
        <v>391088827</v>
      </c>
      <c r="B2093" t="s">
        <v>1066</v>
      </c>
      <c r="G2093">
        <v>75</v>
      </c>
      <c r="H2093" t="s">
        <v>173</v>
      </c>
      <c r="I2093">
        <v>225</v>
      </c>
      <c r="J2093">
        <v>225</v>
      </c>
      <c r="L2093" t="s">
        <v>12</v>
      </c>
      <c r="M2093" t="b">
        <v>0</v>
      </c>
      <c r="O2093" s="1">
        <v>46201.784004629626</v>
      </c>
    </row>
    <row r="2094" spans="1:15" x14ac:dyDescent="0.25">
      <c r="A2094">
        <v>-681614112</v>
      </c>
      <c r="B2094" t="s">
        <v>1066</v>
      </c>
      <c r="G2094">
        <v>35</v>
      </c>
      <c r="H2094" t="s">
        <v>36</v>
      </c>
      <c r="I2094">
        <v>635</v>
      </c>
      <c r="J2094">
        <v>637.4</v>
      </c>
      <c r="L2094" t="s">
        <v>12</v>
      </c>
      <c r="M2094" t="b">
        <v>0</v>
      </c>
      <c r="O2094" s="1">
        <v>46201.784004629626</v>
      </c>
    </row>
    <row r="2095" spans="1:15" x14ac:dyDescent="0.25">
      <c r="A2095">
        <v>1751513953</v>
      </c>
      <c r="B2095" t="s">
        <v>1066</v>
      </c>
      <c r="G2095">
        <v>11</v>
      </c>
      <c r="H2095" t="s">
        <v>33</v>
      </c>
      <c r="I2095">
        <v>45.5</v>
      </c>
      <c r="J2095">
        <v>46</v>
      </c>
      <c r="L2095" t="s">
        <v>15</v>
      </c>
      <c r="M2095" t="b">
        <v>0</v>
      </c>
      <c r="O2095" s="1">
        <v>46201.784004629626</v>
      </c>
    </row>
    <row r="2096" spans="1:15" x14ac:dyDescent="0.25">
      <c r="A2096">
        <v>-1392093682</v>
      </c>
      <c r="B2096" t="s">
        <v>1067</v>
      </c>
      <c r="C2096" t="s">
        <v>974</v>
      </c>
      <c r="D2096" t="s">
        <v>603</v>
      </c>
      <c r="E2096" t="s">
        <v>336</v>
      </c>
      <c r="F2096">
        <v>250</v>
      </c>
      <c r="K2096" s="1">
        <v>46201.78733796296</v>
      </c>
      <c r="M2096" t="b">
        <v>0</v>
      </c>
      <c r="O2096" s="1">
        <v>46201.78733796296</v>
      </c>
    </row>
    <row r="2097" spans="1:15" x14ac:dyDescent="0.25">
      <c r="A2097">
        <v>-655510409</v>
      </c>
      <c r="B2097" t="s">
        <v>1067</v>
      </c>
      <c r="G2097">
        <v>41</v>
      </c>
      <c r="H2097" t="s">
        <v>29</v>
      </c>
      <c r="I2097">
        <v>2250</v>
      </c>
      <c r="J2097">
        <v>2235.3000000000002</v>
      </c>
      <c r="L2097" t="s">
        <v>12</v>
      </c>
      <c r="M2097" t="b">
        <v>0</v>
      </c>
      <c r="O2097" s="1">
        <v>46201.78733796296</v>
      </c>
    </row>
    <row r="2098" spans="1:15" x14ac:dyDescent="0.25">
      <c r="A2098">
        <v>-1129602324</v>
      </c>
      <c r="B2098" t="s">
        <v>1067</v>
      </c>
      <c r="G2098">
        <v>35</v>
      </c>
      <c r="H2098" t="s">
        <v>36</v>
      </c>
      <c r="I2098">
        <v>75</v>
      </c>
      <c r="J2098">
        <v>75.3</v>
      </c>
      <c r="L2098" t="s">
        <v>12</v>
      </c>
      <c r="M2098" t="b">
        <v>0</v>
      </c>
      <c r="O2098" s="1">
        <v>46201.78733796296</v>
      </c>
    </row>
    <row r="2099" spans="1:15" x14ac:dyDescent="0.25">
      <c r="A2099">
        <v>2106305405</v>
      </c>
      <c r="B2099" t="s">
        <v>1067</v>
      </c>
      <c r="G2099">
        <v>59</v>
      </c>
      <c r="H2099" t="s">
        <v>31</v>
      </c>
      <c r="I2099">
        <v>125</v>
      </c>
      <c r="J2099">
        <v>126.1</v>
      </c>
      <c r="L2099" t="s">
        <v>12</v>
      </c>
      <c r="M2099" t="b">
        <v>0</v>
      </c>
      <c r="O2099" s="1">
        <v>46201.78733796296</v>
      </c>
    </row>
    <row r="2100" spans="1:15" x14ac:dyDescent="0.25">
      <c r="A2100">
        <v>-1142983942</v>
      </c>
      <c r="B2100" t="s">
        <v>1068</v>
      </c>
      <c r="C2100" t="s">
        <v>694</v>
      </c>
      <c r="D2100" t="s">
        <v>695</v>
      </c>
      <c r="E2100" t="s">
        <v>313</v>
      </c>
      <c r="F2100">
        <v>250</v>
      </c>
      <c r="K2100" s="1">
        <v>46201.7971412037</v>
      </c>
      <c r="M2100" t="b">
        <v>0</v>
      </c>
      <c r="O2100" s="1">
        <v>46201.7971412037</v>
      </c>
    </row>
    <row r="2101" spans="1:15" x14ac:dyDescent="0.25">
      <c r="A2101">
        <v>605278707</v>
      </c>
      <c r="B2101" t="s">
        <v>1068</v>
      </c>
      <c r="G2101">
        <v>41</v>
      </c>
      <c r="H2101" t="s">
        <v>29</v>
      </c>
      <c r="I2101">
        <v>1760</v>
      </c>
      <c r="J2101">
        <v>1762.4</v>
      </c>
      <c r="L2101" t="s">
        <v>12</v>
      </c>
      <c r="M2101" t="b">
        <v>0</v>
      </c>
      <c r="O2101" s="1">
        <v>46201.7971412037</v>
      </c>
    </row>
    <row r="2102" spans="1:15" x14ac:dyDescent="0.25">
      <c r="A2102">
        <v>601635256</v>
      </c>
      <c r="B2102" t="s">
        <v>1068</v>
      </c>
      <c r="G2102">
        <v>49</v>
      </c>
      <c r="H2102" t="s">
        <v>181</v>
      </c>
      <c r="I2102">
        <v>119.5</v>
      </c>
      <c r="J2102">
        <v>119.2</v>
      </c>
      <c r="L2102" t="s">
        <v>12</v>
      </c>
      <c r="M2102" t="b">
        <v>0</v>
      </c>
      <c r="O2102" s="1">
        <v>46201.7971412037</v>
      </c>
    </row>
    <row r="2103" spans="1:15" x14ac:dyDescent="0.25">
      <c r="A2103">
        <v>-7244455</v>
      </c>
      <c r="B2103" t="s">
        <v>1068</v>
      </c>
      <c r="G2103">
        <v>51</v>
      </c>
      <c r="H2103" t="s">
        <v>137</v>
      </c>
      <c r="I2103">
        <v>377.5</v>
      </c>
      <c r="J2103">
        <v>376.3</v>
      </c>
      <c r="L2103" t="s">
        <v>12</v>
      </c>
      <c r="M2103" t="b">
        <v>0</v>
      </c>
      <c r="O2103" s="1">
        <v>46201.7971412037</v>
      </c>
    </row>
    <row r="2104" spans="1:15" x14ac:dyDescent="0.25">
      <c r="A2104">
        <v>1213339862</v>
      </c>
      <c r="B2104" t="s">
        <v>1069</v>
      </c>
      <c r="C2104" t="s">
        <v>1064</v>
      </c>
      <c r="D2104" t="s">
        <v>1065</v>
      </c>
      <c r="E2104" t="s">
        <v>336</v>
      </c>
      <c r="F2104">
        <v>50</v>
      </c>
      <c r="K2104" s="1">
        <v>46201.822465277779</v>
      </c>
      <c r="M2104" t="b">
        <v>0</v>
      </c>
      <c r="O2104" s="1">
        <v>46201.822465277779</v>
      </c>
    </row>
    <row r="2105" spans="1:15" x14ac:dyDescent="0.25">
      <c r="A2105">
        <v>4104607</v>
      </c>
      <c r="B2105" t="s">
        <v>1069</v>
      </c>
      <c r="G2105">
        <v>41</v>
      </c>
      <c r="H2105" t="s">
        <v>29</v>
      </c>
      <c r="I2105">
        <v>370</v>
      </c>
      <c r="J2105">
        <v>369.3</v>
      </c>
      <c r="L2105" t="s">
        <v>12</v>
      </c>
      <c r="M2105" t="b">
        <v>0</v>
      </c>
      <c r="O2105" s="1">
        <v>46201.822465277779</v>
      </c>
    </row>
    <row r="2106" spans="1:15" x14ac:dyDescent="0.25">
      <c r="A2106">
        <v>-587775244</v>
      </c>
      <c r="B2106" t="s">
        <v>1069</v>
      </c>
      <c r="G2106">
        <v>16</v>
      </c>
      <c r="H2106" t="s">
        <v>13</v>
      </c>
      <c r="I2106">
        <v>45</v>
      </c>
      <c r="J2106">
        <v>44.7</v>
      </c>
      <c r="L2106" t="s">
        <v>12</v>
      </c>
      <c r="M2106" t="b">
        <v>0</v>
      </c>
      <c r="O2106" s="1">
        <v>46201.822465277779</v>
      </c>
    </row>
    <row r="2107" spans="1:15" x14ac:dyDescent="0.25">
      <c r="A2107">
        <v>-157418267</v>
      </c>
      <c r="B2107" t="s">
        <v>1069</v>
      </c>
      <c r="G2107">
        <v>35</v>
      </c>
      <c r="H2107" t="s">
        <v>36</v>
      </c>
      <c r="I2107">
        <v>80</v>
      </c>
      <c r="J2107">
        <v>80.2</v>
      </c>
      <c r="L2107" t="s">
        <v>12</v>
      </c>
      <c r="M2107" t="b">
        <v>0</v>
      </c>
      <c r="O2107" s="1">
        <v>46201.822465277779</v>
      </c>
    </row>
    <row r="2108" spans="1:15" x14ac:dyDescent="0.25">
      <c r="A2108">
        <v>-885312958</v>
      </c>
      <c r="B2108" t="s">
        <v>1070</v>
      </c>
      <c r="C2108" t="s">
        <v>694</v>
      </c>
      <c r="D2108" t="s">
        <v>695</v>
      </c>
      <c r="E2108" t="s">
        <v>313</v>
      </c>
      <c r="F2108">
        <v>250</v>
      </c>
      <c r="K2108" s="1">
        <v>46201.827048611114</v>
      </c>
      <c r="M2108" t="b">
        <v>0</v>
      </c>
      <c r="O2108" s="1">
        <v>46201.827048611114</v>
      </c>
    </row>
    <row r="2109" spans="1:15" x14ac:dyDescent="0.25">
      <c r="A2109">
        <v>-1357962853</v>
      </c>
      <c r="B2109" t="s">
        <v>1070</v>
      </c>
      <c r="G2109">
        <v>41</v>
      </c>
      <c r="H2109" t="s">
        <v>29</v>
      </c>
      <c r="I2109">
        <v>1760</v>
      </c>
      <c r="J2109">
        <v>1776.9</v>
      </c>
      <c r="L2109" t="s">
        <v>12</v>
      </c>
      <c r="M2109" t="b">
        <v>0</v>
      </c>
      <c r="O2109" s="1">
        <v>46201.827048611114</v>
      </c>
    </row>
    <row r="2110" spans="1:15" x14ac:dyDescent="0.25">
      <c r="A2110">
        <v>-40228288</v>
      </c>
      <c r="B2110" t="s">
        <v>1070</v>
      </c>
      <c r="G2110">
        <v>49</v>
      </c>
      <c r="H2110" t="s">
        <v>181</v>
      </c>
      <c r="I2110">
        <v>119.5</v>
      </c>
      <c r="J2110">
        <v>119.4</v>
      </c>
      <c r="L2110" t="s">
        <v>12</v>
      </c>
      <c r="M2110" t="b">
        <v>0</v>
      </c>
      <c r="O2110" s="1">
        <v>46201.827048611114</v>
      </c>
    </row>
    <row r="2111" spans="1:15" x14ac:dyDescent="0.25">
      <c r="A2111">
        <v>1712254273</v>
      </c>
      <c r="B2111" t="s">
        <v>1070</v>
      </c>
      <c r="G2111">
        <v>51</v>
      </c>
      <c r="H2111" t="s">
        <v>137</v>
      </c>
      <c r="I2111">
        <v>377.5</v>
      </c>
      <c r="J2111">
        <v>380.8</v>
      </c>
      <c r="L2111" t="s">
        <v>12</v>
      </c>
      <c r="M2111" t="b">
        <v>0</v>
      </c>
      <c r="O2111" s="1">
        <v>46201.827048611114</v>
      </c>
    </row>
    <row r="2112" spans="1:15" x14ac:dyDescent="0.25">
      <c r="A2112">
        <v>621288046</v>
      </c>
      <c r="B2112" t="s">
        <v>1071</v>
      </c>
      <c r="C2112" t="s">
        <v>430</v>
      </c>
      <c r="D2112" t="s">
        <v>1051</v>
      </c>
      <c r="E2112" t="s">
        <v>313</v>
      </c>
      <c r="F2112">
        <v>120</v>
      </c>
      <c r="K2112" s="1">
        <v>46201.834988425922</v>
      </c>
      <c r="M2112" t="b">
        <v>0</v>
      </c>
      <c r="O2112" s="1">
        <v>46201.834988425922</v>
      </c>
    </row>
    <row r="2113" spans="1:15" x14ac:dyDescent="0.25">
      <c r="A2113">
        <v>-1079281321</v>
      </c>
      <c r="B2113" t="s">
        <v>1071</v>
      </c>
      <c r="G2113">
        <v>41</v>
      </c>
      <c r="H2113" t="s">
        <v>29</v>
      </c>
      <c r="I2113">
        <v>600</v>
      </c>
      <c r="J2113">
        <v>595.20000000000005</v>
      </c>
      <c r="L2113" t="s">
        <v>12</v>
      </c>
      <c r="M2113" t="b">
        <v>0</v>
      </c>
      <c r="O2113" s="1">
        <v>46201.834988425922</v>
      </c>
    </row>
    <row r="2114" spans="1:15" x14ac:dyDescent="0.25">
      <c r="A2114">
        <v>-1561821620</v>
      </c>
      <c r="B2114" t="s">
        <v>1071</v>
      </c>
      <c r="G2114">
        <v>35</v>
      </c>
      <c r="H2114" t="s">
        <v>36</v>
      </c>
      <c r="I2114">
        <v>264</v>
      </c>
      <c r="J2114">
        <v>264.3</v>
      </c>
      <c r="L2114" t="s">
        <v>12</v>
      </c>
      <c r="M2114" t="b">
        <v>0</v>
      </c>
      <c r="O2114" s="1">
        <v>46201.834988425922</v>
      </c>
    </row>
    <row r="2115" spans="1:15" x14ac:dyDescent="0.25">
      <c r="A2115">
        <v>-1688831139</v>
      </c>
      <c r="B2115" t="s">
        <v>1071</v>
      </c>
      <c r="G2115">
        <v>44</v>
      </c>
      <c r="H2115" t="s">
        <v>16</v>
      </c>
      <c r="I2115">
        <v>6</v>
      </c>
      <c r="J2115">
        <v>7.5</v>
      </c>
      <c r="L2115" t="s">
        <v>15</v>
      </c>
      <c r="M2115" t="b">
        <v>0</v>
      </c>
      <c r="O2115" s="1">
        <v>46201.834988425922</v>
      </c>
    </row>
    <row r="2116" spans="1:15" x14ac:dyDescent="0.25">
      <c r="A2116">
        <v>1283153935</v>
      </c>
      <c r="B2116" t="s">
        <v>1072</v>
      </c>
      <c r="C2116" t="s">
        <v>800</v>
      </c>
      <c r="D2116" t="s">
        <v>1073</v>
      </c>
      <c r="E2116" t="s">
        <v>364</v>
      </c>
      <c r="F2116">
        <v>50</v>
      </c>
      <c r="K2116" s="1">
        <v>46201.855428240742</v>
      </c>
      <c r="M2116" t="b">
        <v>0</v>
      </c>
      <c r="O2116" s="1">
        <v>46201.855428240742</v>
      </c>
    </row>
    <row r="2117" spans="1:15" x14ac:dyDescent="0.25">
      <c r="A2117">
        <v>1119706276</v>
      </c>
      <c r="B2117" t="s">
        <v>1072</v>
      </c>
      <c r="G2117">
        <v>41</v>
      </c>
      <c r="H2117" t="s">
        <v>29</v>
      </c>
      <c r="I2117">
        <v>230</v>
      </c>
      <c r="J2117">
        <v>230.7</v>
      </c>
      <c r="L2117" t="s">
        <v>12</v>
      </c>
      <c r="M2117" t="b">
        <v>0</v>
      </c>
      <c r="O2117" s="1">
        <v>46201.855428240742</v>
      </c>
    </row>
    <row r="2118" spans="1:15" x14ac:dyDescent="0.25">
      <c r="A2118">
        <v>-779837227</v>
      </c>
      <c r="B2118" t="s">
        <v>1072</v>
      </c>
      <c r="G2118">
        <v>35</v>
      </c>
      <c r="H2118" t="s">
        <v>36</v>
      </c>
      <c r="I2118">
        <v>34</v>
      </c>
      <c r="J2118">
        <v>33.799999999999997</v>
      </c>
      <c r="L2118" t="s">
        <v>12</v>
      </c>
      <c r="M2118" t="b">
        <v>0</v>
      </c>
      <c r="O2118" s="1">
        <v>46201.855428240742</v>
      </c>
    </row>
    <row r="2119" spans="1:15" x14ac:dyDescent="0.25">
      <c r="A2119">
        <v>-921721998</v>
      </c>
      <c r="B2119" t="s">
        <v>1072</v>
      </c>
      <c r="G2119">
        <v>44</v>
      </c>
      <c r="H2119" t="s">
        <v>16</v>
      </c>
      <c r="I2119">
        <v>10</v>
      </c>
      <c r="J2119">
        <v>10.199999999999999</v>
      </c>
      <c r="L2119" t="s">
        <v>15</v>
      </c>
      <c r="M2119" t="b">
        <v>0</v>
      </c>
      <c r="O2119" s="1">
        <v>46201.855428240742</v>
      </c>
    </row>
    <row r="2120" spans="1:15" x14ac:dyDescent="0.25">
      <c r="A2120">
        <v>-306969761</v>
      </c>
      <c r="B2120" t="s">
        <v>1074</v>
      </c>
      <c r="C2120" t="s">
        <v>800</v>
      </c>
      <c r="D2120" t="s">
        <v>1073</v>
      </c>
      <c r="E2120" t="s">
        <v>364</v>
      </c>
      <c r="F2120">
        <v>50</v>
      </c>
      <c r="K2120" s="1">
        <v>46202.015659722223</v>
      </c>
      <c r="M2120" t="b">
        <v>0</v>
      </c>
      <c r="O2120" s="1">
        <v>46202.015659722223</v>
      </c>
    </row>
    <row r="2121" spans="1:15" x14ac:dyDescent="0.25">
      <c r="A2121">
        <v>-1066667596</v>
      </c>
      <c r="B2121" t="s">
        <v>1074</v>
      </c>
      <c r="G2121">
        <v>41</v>
      </c>
      <c r="H2121" t="s">
        <v>29</v>
      </c>
      <c r="I2121">
        <v>200</v>
      </c>
      <c r="J2121">
        <v>199.7</v>
      </c>
      <c r="L2121" t="s">
        <v>12</v>
      </c>
      <c r="M2121" t="b">
        <v>0</v>
      </c>
      <c r="O2121" s="1">
        <v>46202.015659722223</v>
      </c>
    </row>
    <row r="2122" spans="1:15" x14ac:dyDescent="0.25">
      <c r="A2122">
        <v>-1222560603</v>
      </c>
      <c r="B2122" t="s">
        <v>1074</v>
      </c>
      <c r="G2122">
        <v>35</v>
      </c>
      <c r="H2122" t="s">
        <v>36</v>
      </c>
      <c r="I2122">
        <v>34</v>
      </c>
      <c r="J2122">
        <v>34.4</v>
      </c>
      <c r="L2122" t="s">
        <v>15</v>
      </c>
      <c r="M2122" t="b">
        <v>0</v>
      </c>
      <c r="O2122" s="1">
        <v>46202.015659722223</v>
      </c>
    </row>
    <row r="2123" spans="1:15" x14ac:dyDescent="0.25">
      <c r="A2123">
        <v>-1235058942</v>
      </c>
      <c r="B2123" t="s">
        <v>1074</v>
      </c>
      <c r="G2123">
        <v>44</v>
      </c>
      <c r="H2123" t="s">
        <v>16</v>
      </c>
      <c r="I2123">
        <v>18</v>
      </c>
      <c r="J2123">
        <v>20.2</v>
      </c>
      <c r="L2123" t="s">
        <v>15</v>
      </c>
      <c r="M2123" t="b">
        <v>0</v>
      </c>
      <c r="O2123" s="1">
        <v>46202.015659722223</v>
      </c>
    </row>
    <row r="2124" spans="1:15" x14ac:dyDescent="0.25">
      <c r="A2124">
        <v>-1686365549</v>
      </c>
      <c r="B2124" t="s">
        <v>1075</v>
      </c>
      <c r="C2124" t="s">
        <v>430</v>
      </c>
      <c r="D2124" t="s">
        <v>1051</v>
      </c>
      <c r="E2124" t="s">
        <v>313</v>
      </c>
      <c r="F2124">
        <v>120</v>
      </c>
      <c r="K2124" s="1">
        <v>46202.029803240737</v>
      </c>
      <c r="M2124" t="b">
        <v>0</v>
      </c>
      <c r="O2124" s="1">
        <v>46202.029803240737</v>
      </c>
    </row>
    <row r="2125" spans="1:15" x14ac:dyDescent="0.25">
      <c r="A2125">
        <v>-630145576</v>
      </c>
      <c r="B2125" t="s">
        <v>1075</v>
      </c>
      <c r="G2125">
        <v>41</v>
      </c>
      <c r="H2125" t="s">
        <v>29</v>
      </c>
      <c r="I2125">
        <v>600</v>
      </c>
      <c r="J2125">
        <v>603.79999999999995</v>
      </c>
      <c r="L2125" t="s">
        <v>12</v>
      </c>
      <c r="M2125" t="b">
        <v>0</v>
      </c>
      <c r="O2125" s="1">
        <v>46202.029803240737</v>
      </c>
    </row>
    <row r="2126" spans="1:15" x14ac:dyDescent="0.25">
      <c r="A2126">
        <v>-295604487</v>
      </c>
      <c r="B2126" t="s">
        <v>1075</v>
      </c>
      <c r="G2126">
        <v>35</v>
      </c>
      <c r="H2126" t="s">
        <v>36</v>
      </c>
      <c r="I2126">
        <v>220</v>
      </c>
      <c r="J2126">
        <v>221.5</v>
      </c>
      <c r="L2126" t="s">
        <v>12</v>
      </c>
      <c r="M2126" t="b">
        <v>0</v>
      </c>
      <c r="O2126" s="1">
        <v>46202.029803240737</v>
      </c>
    </row>
    <row r="2127" spans="1:15" x14ac:dyDescent="0.25">
      <c r="A2127">
        <v>303314886</v>
      </c>
      <c r="B2127" t="s">
        <v>1075</v>
      </c>
      <c r="G2127">
        <v>44</v>
      </c>
      <c r="H2127" t="s">
        <v>16</v>
      </c>
      <c r="I2127">
        <v>6</v>
      </c>
      <c r="J2127">
        <v>3.9</v>
      </c>
      <c r="L2127" t="s">
        <v>15</v>
      </c>
      <c r="M2127" t="b">
        <v>0</v>
      </c>
      <c r="O2127" s="1">
        <v>46202.029803240737</v>
      </c>
    </row>
    <row r="2128" spans="1:15" x14ac:dyDescent="0.25">
      <c r="A2128">
        <v>-1442327986</v>
      </c>
      <c r="B2128" t="s">
        <v>1076</v>
      </c>
      <c r="C2128" t="s">
        <v>800</v>
      </c>
      <c r="D2128" t="s">
        <v>1073</v>
      </c>
      <c r="E2128" t="s">
        <v>364</v>
      </c>
      <c r="F2128">
        <v>50</v>
      </c>
      <c r="K2128" s="1">
        <v>46212.110520833332</v>
      </c>
      <c r="M2128" t="b">
        <v>0</v>
      </c>
      <c r="O2128" s="1">
        <v>46212.110520833332</v>
      </c>
    </row>
    <row r="2129" spans="1:15" x14ac:dyDescent="0.25">
      <c r="A2129">
        <v>2010254263</v>
      </c>
      <c r="B2129" t="s">
        <v>1076</v>
      </c>
      <c r="G2129">
        <v>41</v>
      </c>
      <c r="H2129" t="s">
        <v>29</v>
      </c>
      <c r="I2129">
        <v>180</v>
      </c>
      <c r="J2129">
        <v>180.08</v>
      </c>
      <c r="L2129" t="s">
        <v>12</v>
      </c>
      <c r="M2129" t="b">
        <v>0</v>
      </c>
      <c r="O2129" s="1">
        <v>46212.110520833332</v>
      </c>
    </row>
    <row r="2130" spans="1:15" x14ac:dyDescent="0.25">
      <c r="A2130">
        <v>1630697772</v>
      </c>
      <c r="B2130" t="s">
        <v>1076</v>
      </c>
      <c r="G2130">
        <v>35</v>
      </c>
      <c r="H2130" t="s">
        <v>36</v>
      </c>
      <c r="I2130">
        <v>34</v>
      </c>
      <c r="J2130">
        <v>34.11</v>
      </c>
      <c r="L2130" t="s">
        <v>12</v>
      </c>
      <c r="M2130" t="b">
        <v>0</v>
      </c>
      <c r="O2130" s="1">
        <v>46212.110520833332</v>
      </c>
    </row>
    <row r="2131" spans="1:15" x14ac:dyDescent="0.25">
      <c r="A2131">
        <v>-574827331</v>
      </c>
      <c r="B2131" t="s">
        <v>1076</v>
      </c>
      <c r="G2131">
        <v>44</v>
      </c>
      <c r="H2131" t="s">
        <v>16</v>
      </c>
      <c r="I2131">
        <v>12</v>
      </c>
      <c r="J2131">
        <v>12.08</v>
      </c>
      <c r="L2131" t="s">
        <v>12</v>
      </c>
      <c r="M2131" t="b">
        <v>0</v>
      </c>
      <c r="O2131" s="1">
        <v>46212.110520833332</v>
      </c>
    </row>
    <row r="2132" spans="1:15" x14ac:dyDescent="0.25">
      <c r="A2132">
        <v>-2049602819</v>
      </c>
      <c r="B2132" t="s">
        <v>1077</v>
      </c>
      <c r="C2132" t="s">
        <v>466</v>
      </c>
      <c r="D2132" t="s">
        <v>467</v>
      </c>
      <c r="E2132" t="s">
        <v>340</v>
      </c>
      <c r="F2132">
        <v>250</v>
      </c>
      <c r="K2132" s="1">
        <v>46202.199976851851</v>
      </c>
      <c r="M2132" t="b">
        <v>0</v>
      </c>
      <c r="O2132" s="1">
        <v>46202.199976851851</v>
      </c>
    </row>
    <row r="2133" spans="1:15" x14ac:dyDescent="0.25">
      <c r="A2133">
        <v>-274154374</v>
      </c>
      <c r="B2133" t="s">
        <v>1077</v>
      </c>
      <c r="G2133">
        <v>35</v>
      </c>
      <c r="H2133" t="s">
        <v>36</v>
      </c>
      <c r="I2133">
        <v>137.5</v>
      </c>
      <c r="J2133">
        <v>139</v>
      </c>
      <c r="L2133" t="s">
        <v>15</v>
      </c>
      <c r="M2133" t="b">
        <v>0</v>
      </c>
      <c r="O2133" s="1">
        <v>46202.199976851851</v>
      </c>
    </row>
    <row r="2134" spans="1:15" x14ac:dyDescent="0.25">
      <c r="A2134">
        <v>-159466125</v>
      </c>
      <c r="B2134" t="s">
        <v>1077</v>
      </c>
      <c r="G2134">
        <v>17</v>
      </c>
      <c r="H2134" t="s">
        <v>134</v>
      </c>
      <c r="I2134">
        <v>380</v>
      </c>
      <c r="J2134">
        <v>377.4</v>
      </c>
      <c r="L2134" t="s">
        <v>12</v>
      </c>
      <c r="M2134" t="b">
        <v>0</v>
      </c>
      <c r="O2134" s="1">
        <v>46202.199976851851</v>
      </c>
    </row>
    <row r="2135" spans="1:15" x14ac:dyDescent="0.25">
      <c r="A2135">
        <v>-1875075272</v>
      </c>
      <c r="B2135" t="s">
        <v>1077</v>
      </c>
      <c r="G2135">
        <v>57</v>
      </c>
      <c r="H2135" t="s">
        <v>17</v>
      </c>
      <c r="I2135">
        <v>605</v>
      </c>
      <c r="J2135">
        <v>600.79999999999995</v>
      </c>
      <c r="L2135" t="s">
        <v>12</v>
      </c>
      <c r="M2135" t="b">
        <v>0</v>
      </c>
      <c r="O2135" s="1">
        <v>46202.199976851851</v>
      </c>
    </row>
    <row r="2136" spans="1:15" x14ac:dyDescent="0.25">
      <c r="A2136">
        <v>-2018226983</v>
      </c>
      <c r="B2136" t="s">
        <v>1077</v>
      </c>
      <c r="G2136">
        <v>41</v>
      </c>
      <c r="H2136" t="s">
        <v>29</v>
      </c>
      <c r="I2136">
        <v>127.5</v>
      </c>
      <c r="J2136">
        <v>127.8</v>
      </c>
      <c r="L2136" t="s">
        <v>12</v>
      </c>
      <c r="M2136" t="b">
        <v>0</v>
      </c>
      <c r="O2136" s="1">
        <v>46202.199976851851</v>
      </c>
    </row>
    <row r="2137" spans="1:15" x14ac:dyDescent="0.25">
      <c r="A2137">
        <v>1350470759</v>
      </c>
      <c r="B2137" t="s">
        <v>1078</v>
      </c>
      <c r="C2137" t="s">
        <v>593</v>
      </c>
      <c r="D2137" t="s">
        <v>594</v>
      </c>
      <c r="E2137" t="s">
        <v>313</v>
      </c>
      <c r="F2137">
        <v>250</v>
      </c>
      <c r="K2137" s="1">
        <v>46202.266261574077</v>
      </c>
      <c r="M2137" t="b">
        <v>0</v>
      </c>
      <c r="O2137" s="1">
        <v>46202.266261574077</v>
      </c>
    </row>
    <row r="2138" spans="1:15" x14ac:dyDescent="0.25">
      <c r="A2138">
        <v>790837276</v>
      </c>
      <c r="B2138" t="s">
        <v>1078</v>
      </c>
      <c r="G2138">
        <v>41</v>
      </c>
      <c r="H2138" t="s">
        <v>29</v>
      </c>
      <c r="I2138">
        <v>5000</v>
      </c>
      <c r="J2138">
        <v>5033.6000000000004</v>
      </c>
      <c r="L2138" t="s">
        <v>12</v>
      </c>
      <c r="M2138" t="b">
        <v>0</v>
      </c>
      <c r="O2138" s="1">
        <v>46202.266261574077</v>
      </c>
    </row>
    <row r="2139" spans="1:15" x14ac:dyDescent="0.25">
      <c r="A2139">
        <v>1754924269</v>
      </c>
      <c r="B2139" t="s">
        <v>1078</v>
      </c>
      <c r="G2139">
        <v>58</v>
      </c>
      <c r="H2139" t="s">
        <v>32</v>
      </c>
      <c r="I2139">
        <v>2175</v>
      </c>
      <c r="J2139">
        <v>2174.1999999999998</v>
      </c>
      <c r="L2139" t="s">
        <v>12</v>
      </c>
      <c r="M2139" t="b">
        <v>0</v>
      </c>
      <c r="O2139" s="1">
        <v>46202.266261574077</v>
      </c>
    </row>
    <row r="2140" spans="1:15" x14ac:dyDescent="0.25">
      <c r="A2140">
        <v>499108778</v>
      </c>
      <c r="B2140" t="s">
        <v>1078</v>
      </c>
      <c r="G2140">
        <v>35</v>
      </c>
      <c r="H2140" t="s">
        <v>36</v>
      </c>
      <c r="I2140">
        <v>437.5</v>
      </c>
      <c r="J2140">
        <v>438.9</v>
      </c>
      <c r="L2140" t="s">
        <v>12</v>
      </c>
      <c r="M2140" t="b">
        <v>0</v>
      </c>
      <c r="O2140" s="1">
        <v>46202.266261574077</v>
      </c>
    </row>
    <row r="2141" spans="1:15" x14ac:dyDescent="0.25">
      <c r="A2141">
        <v>1184246885</v>
      </c>
      <c r="B2141" t="s">
        <v>1079</v>
      </c>
      <c r="C2141" t="s">
        <v>677</v>
      </c>
      <c r="D2141" t="s">
        <v>678</v>
      </c>
      <c r="E2141" t="s">
        <v>313</v>
      </c>
      <c r="F2141">
        <v>50</v>
      </c>
      <c r="K2141" s="1">
        <v>46202.278113425928</v>
      </c>
      <c r="M2141" t="b">
        <v>0</v>
      </c>
      <c r="O2141" s="1">
        <v>46202.278113425928</v>
      </c>
    </row>
    <row r="2142" spans="1:15" x14ac:dyDescent="0.25">
      <c r="A2142">
        <v>881363906</v>
      </c>
      <c r="B2142" t="s">
        <v>1079</v>
      </c>
      <c r="G2142">
        <v>41</v>
      </c>
      <c r="H2142" t="s">
        <v>29</v>
      </c>
      <c r="I2142">
        <v>750</v>
      </c>
      <c r="J2142">
        <v>753.6</v>
      </c>
      <c r="L2142" t="s">
        <v>12</v>
      </c>
      <c r="M2142" t="b">
        <v>0</v>
      </c>
      <c r="O2142" s="1">
        <v>46202.278113425928</v>
      </c>
    </row>
    <row r="2143" spans="1:15" x14ac:dyDescent="0.25">
      <c r="A2143">
        <v>-1877943013</v>
      </c>
      <c r="B2143" t="s">
        <v>1079</v>
      </c>
      <c r="G2143">
        <v>35</v>
      </c>
      <c r="H2143" t="s">
        <v>36</v>
      </c>
      <c r="I2143">
        <v>11.5</v>
      </c>
      <c r="J2143">
        <v>11.3</v>
      </c>
      <c r="L2143" t="s">
        <v>15</v>
      </c>
      <c r="M2143" t="b">
        <v>0</v>
      </c>
      <c r="O2143" s="1">
        <v>46202.278113425928</v>
      </c>
    </row>
    <row r="2144" spans="1:15" x14ac:dyDescent="0.25">
      <c r="A2144">
        <v>2036146112</v>
      </c>
      <c r="B2144" t="s">
        <v>1079</v>
      </c>
      <c r="G2144">
        <v>44</v>
      </c>
      <c r="H2144" t="s">
        <v>16</v>
      </c>
      <c r="I2144">
        <v>17</v>
      </c>
      <c r="J2144">
        <v>17.600000000000001</v>
      </c>
      <c r="L2144" t="s">
        <v>15</v>
      </c>
      <c r="M2144" t="b">
        <v>0</v>
      </c>
      <c r="O2144" s="1">
        <v>46202.278113425928</v>
      </c>
    </row>
    <row r="2145" spans="1:15" x14ac:dyDescent="0.25">
      <c r="A2145">
        <v>-1313755051</v>
      </c>
      <c r="B2145" t="s">
        <v>1080</v>
      </c>
      <c r="C2145" t="s">
        <v>507</v>
      </c>
      <c r="D2145" t="s">
        <v>217</v>
      </c>
      <c r="E2145" t="s">
        <v>313</v>
      </c>
      <c r="F2145">
        <v>250</v>
      </c>
      <c r="K2145" s="1">
        <v>46202.306967592594</v>
      </c>
      <c r="M2145" t="b">
        <v>0</v>
      </c>
      <c r="O2145" s="1">
        <v>46202.306967592594</v>
      </c>
    </row>
    <row r="2146" spans="1:15" x14ac:dyDescent="0.25">
      <c r="A2146">
        <v>216554738</v>
      </c>
      <c r="B2146" t="s">
        <v>1080</v>
      </c>
      <c r="G2146">
        <v>41</v>
      </c>
      <c r="H2146" t="s">
        <v>29</v>
      </c>
      <c r="I2146">
        <v>5000</v>
      </c>
      <c r="J2146">
        <v>5003.1000000000004</v>
      </c>
      <c r="L2146" t="s">
        <v>12</v>
      </c>
      <c r="M2146" t="b">
        <v>0</v>
      </c>
      <c r="O2146" s="1">
        <v>46202.306967592594</v>
      </c>
    </row>
    <row r="2147" spans="1:15" x14ac:dyDescent="0.25">
      <c r="A2147">
        <v>182043275</v>
      </c>
      <c r="B2147" t="s">
        <v>1080</v>
      </c>
      <c r="G2147">
        <v>75</v>
      </c>
      <c r="H2147" t="s">
        <v>173</v>
      </c>
      <c r="I2147">
        <v>225</v>
      </c>
      <c r="J2147">
        <v>224.9</v>
      </c>
      <c r="L2147" t="s">
        <v>12</v>
      </c>
      <c r="M2147" t="b">
        <v>0</v>
      </c>
      <c r="O2147" s="1">
        <v>46202.306967592594</v>
      </c>
    </row>
    <row r="2148" spans="1:15" x14ac:dyDescent="0.25">
      <c r="A2148">
        <v>-1194322832</v>
      </c>
      <c r="B2148" t="s">
        <v>1080</v>
      </c>
      <c r="G2148">
        <v>35</v>
      </c>
      <c r="H2148" t="s">
        <v>36</v>
      </c>
      <c r="I2148">
        <v>635</v>
      </c>
      <c r="J2148">
        <v>636.1</v>
      </c>
      <c r="L2148" t="s">
        <v>12</v>
      </c>
      <c r="M2148" t="b">
        <v>0</v>
      </c>
      <c r="O2148" s="1">
        <v>46202.306967592594</v>
      </c>
    </row>
    <row r="2149" spans="1:15" x14ac:dyDescent="0.25">
      <c r="A2149">
        <v>1525692337</v>
      </c>
      <c r="B2149" t="s">
        <v>1080</v>
      </c>
      <c r="G2149">
        <v>11</v>
      </c>
      <c r="H2149" t="s">
        <v>33</v>
      </c>
      <c r="I2149">
        <v>45.5</v>
      </c>
      <c r="J2149">
        <v>46.1</v>
      </c>
      <c r="L2149" t="s">
        <v>15</v>
      </c>
      <c r="M2149" t="b">
        <v>0</v>
      </c>
      <c r="O2149" s="1">
        <v>46202.306967592594</v>
      </c>
    </row>
    <row r="2150" spans="1:15" x14ac:dyDescent="0.25">
      <c r="A2150">
        <v>92459038</v>
      </c>
      <c r="B2150" t="s">
        <v>1081</v>
      </c>
      <c r="C2150" t="s">
        <v>430</v>
      </c>
      <c r="D2150" t="s">
        <v>998</v>
      </c>
      <c r="E2150" t="s">
        <v>336</v>
      </c>
      <c r="F2150">
        <v>50</v>
      </c>
      <c r="K2150" s="1">
        <v>46202.308703703704</v>
      </c>
      <c r="M2150" t="b">
        <v>0</v>
      </c>
      <c r="O2150" s="1">
        <v>46202.308703703704</v>
      </c>
    </row>
    <row r="2151" spans="1:15" x14ac:dyDescent="0.25">
      <c r="A2151">
        <v>1887013191</v>
      </c>
      <c r="B2151" t="s">
        <v>1081</v>
      </c>
      <c r="G2151">
        <v>41</v>
      </c>
      <c r="H2151" t="s">
        <v>29</v>
      </c>
      <c r="I2151">
        <v>700</v>
      </c>
      <c r="J2151">
        <v>701.1</v>
      </c>
      <c r="L2151" t="s">
        <v>12</v>
      </c>
      <c r="M2151" t="b">
        <v>0</v>
      </c>
      <c r="O2151" s="1">
        <v>46202.308703703704</v>
      </c>
    </row>
    <row r="2152" spans="1:15" x14ac:dyDescent="0.25">
      <c r="A2152">
        <v>628288380</v>
      </c>
      <c r="B2152" t="s">
        <v>1081</v>
      </c>
      <c r="G2152">
        <v>35</v>
      </c>
      <c r="H2152" t="s">
        <v>36</v>
      </c>
      <c r="I2152">
        <v>26</v>
      </c>
      <c r="J2152">
        <v>26.2</v>
      </c>
      <c r="L2152" t="s">
        <v>12</v>
      </c>
      <c r="M2152" t="b">
        <v>0</v>
      </c>
      <c r="O2152" s="1">
        <v>46202.308703703704</v>
      </c>
    </row>
    <row r="2153" spans="1:15" x14ac:dyDescent="0.25">
      <c r="A2153">
        <v>1204079821</v>
      </c>
      <c r="B2153" t="s">
        <v>1082</v>
      </c>
      <c r="C2153" t="s">
        <v>430</v>
      </c>
      <c r="D2153" t="s">
        <v>1051</v>
      </c>
      <c r="E2153" t="s">
        <v>313</v>
      </c>
      <c r="F2153">
        <v>120</v>
      </c>
      <c r="K2153" s="1">
        <v>46202.310069444444</v>
      </c>
      <c r="M2153" t="b">
        <v>0</v>
      </c>
      <c r="O2153" s="1">
        <v>46202.310069444444</v>
      </c>
    </row>
    <row r="2154" spans="1:15" x14ac:dyDescent="0.25">
      <c r="A2154">
        <v>1608003082</v>
      </c>
      <c r="B2154" t="s">
        <v>1082</v>
      </c>
      <c r="G2154">
        <v>41</v>
      </c>
      <c r="H2154" t="s">
        <v>29</v>
      </c>
      <c r="I2154">
        <v>500</v>
      </c>
      <c r="J2154">
        <v>501.1</v>
      </c>
      <c r="L2154" t="s">
        <v>12</v>
      </c>
      <c r="M2154" t="b">
        <v>0</v>
      </c>
      <c r="O2154" s="1">
        <v>46202.310069444444</v>
      </c>
    </row>
    <row r="2155" spans="1:15" x14ac:dyDescent="0.25">
      <c r="A2155">
        <v>-488827965</v>
      </c>
      <c r="B2155" t="s">
        <v>1082</v>
      </c>
      <c r="G2155">
        <v>35</v>
      </c>
      <c r="H2155" t="s">
        <v>36</v>
      </c>
      <c r="I2155">
        <v>150</v>
      </c>
      <c r="J2155">
        <v>150.5</v>
      </c>
      <c r="L2155" t="s">
        <v>12</v>
      </c>
      <c r="M2155" t="b">
        <v>0</v>
      </c>
      <c r="O2155" s="1">
        <v>46202.310069444444</v>
      </c>
    </row>
    <row r="2156" spans="1:15" x14ac:dyDescent="0.25">
      <c r="A2156">
        <v>-497177784</v>
      </c>
      <c r="B2156" t="s">
        <v>1082</v>
      </c>
      <c r="G2156">
        <v>44</v>
      </c>
      <c r="H2156" t="s">
        <v>16</v>
      </c>
      <c r="I2156">
        <v>6</v>
      </c>
      <c r="J2156">
        <v>3.8</v>
      </c>
      <c r="L2156" t="s">
        <v>15</v>
      </c>
      <c r="M2156" t="b">
        <v>0</v>
      </c>
      <c r="O2156" s="1">
        <v>46202.310069444444</v>
      </c>
    </row>
    <row r="2157" spans="1:15" x14ac:dyDescent="0.25">
      <c r="A2157">
        <v>1050851322</v>
      </c>
      <c r="B2157" t="s">
        <v>1083</v>
      </c>
      <c r="C2157" t="s">
        <v>682</v>
      </c>
      <c r="D2157" t="s">
        <v>613</v>
      </c>
      <c r="E2157" t="s">
        <v>313</v>
      </c>
      <c r="F2157">
        <v>15</v>
      </c>
      <c r="K2157" s="1">
        <v>46212.435046296298</v>
      </c>
      <c r="M2157" t="b">
        <v>0</v>
      </c>
      <c r="O2157" s="1">
        <v>46212.435046296298</v>
      </c>
    </row>
    <row r="2158" spans="1:15" x14ac:dyDescent="0.25">
      <c r="A2158">
        <v>-798690573</v>
      </c>
      <c r="B2158" t="s">
        <v>1083</v>
      </c>
      <c r="G2158">
        <v>41</v>
      </c>
      <c r="H2158" t="s">
        <v>29</v>
      </c>
      <c r="I2158">
        <v>189</v>
      </c>
      <c r="J2158">
        <v>189.74</v>
      </c>
      <c r="L2158" t="s">
        <v>12</v>
      </c>
      <c r="M2158" t="b">
        <v>0</v>
      </c>
      <c r="O2158" s="1">
        <v>46212.435046296298</v>
      </c>
    </row>
    <row r="2159" spans="1:15" x14ac:dyDescent="0.25">
      <c r="A2159">
        <v>-1849358664</v>
      </c>
      <c r="B2159" t="s">
        <v>1083</v>
      </c>
      <c r="G2159">
        <v>35</v>
      </c>
      <c r="H2159" t="s">
        <v>36</v>
      </c>
      <c r="I2159">
        <v>30</v>
      </c>
      <c r="J2159">
        <v>30.18</v>
      </c>
      <c r="L2159" t="s">
        <v>12</v>
      </c>
      <c r="M2159" t="b">
        <v>0</v>
      </c>
      <c r="O2159" s="1">
        <v>46212.435046296298</v>
      </c>
    </row>
    <row r="2160" spans="1:15" x14ac:dyDescent="0.25">
      <c r="A2160">
        <v>-1179943335</v>
      </c>
      <c r="B2160" t="s">
        <v>1083</v>
      </c>
      <c r="G2160">
        <v>11</v>
      </c>
      <c r="H2160" t="s">
        <v>33</v>
      </c>
      <c r="I2160">
        <v>5.4</v>
      </c>
      <c r="J2160">
        <v>5.46</v>
      </c>
      <c r="L2160" t="s">
        <v>15</v>
      </c>
      <c r="M2160" t="b">
        <v>0</v>
      </c>
      <c r="O2160" s="1">
        <v>46212.435046296298</v>
      </c>
    </row>
    <row r="2161" spans="1:15" x14ac:dyDescent="0.25">
      <c r="A2161">
        <v>-918322008</v>
      </c>
      <c r="B2161" t="s">
        <v>1084</v>
      </c>
      <c r="C2161" t="s">
        <v>382</v>
      </c>
      <c r="D2161" t="s">
        <v>383</v>
      </c>
      <c r="E2161" t="s">
        <v>364</v>
      </c>
      <c r="F2161">
        <v>120</v>
      </c>
      <c r="K2161" s="1">
        <v>46202.40016203704</v>
      </c>
      <c r="M2161" t="b">
        <v>0</v>
      </c>
      <c r="O2161" s="1">
        <v>46202.40016203704</v>
      </c>
    </row>
    <row r="2162" spans="1:15" x14ac:dyDescent="0.25">
      <c r="A2162">
        <v>-334675575</v>
      </c>
      <c r="B2162" t="s">
        <v>1084</v>
      </c>
      <c r="G2162">
        <v>41</v>
      </c>
      <c r="H2162" t="s">
        <v>29</v>
      </c>
      <c r="I2162">
        <v>2880</v>
      </c>
      <c r="J2162">
        <v>2893.1</v>
      </c>
      <c r="L2162" t="s">
        <v>12</v>
      </c>
      <c r="M2162" t="b">
        <v>0</v>
      </c>
      <c r="O2162" s="1">
        <v>46202.40016203704</v>
      </c>
    </row>
    <row r="2163" spans="1:15" x14ac:dyDescent="0.25">
      <c r="A2163">
        <v>-596272362</v>
      </c>
      <c r="B2163" t="s">
        <v>1084</v>
      </c>
      <c r="G2163">
        <v>35</v>
      </c>
      <c r="H2163" t="s">
        <v>36</v>
      </c>
      <c r="I2163">
        <v>336</v>
      </c>
      <c r="J2163">
        <v>337.8</v>
      </c>
      <c r="L2163" t="s">
        <v>12</v>
      </c>
      <c r="M2163" t="b">
        <v>0</v>
      </c>
      <c r="O2163" s="1">
        <v>46202.40016203704</v>
      </c>
    </row>
    <row r="2164" spans="1:15" x14ac:dyDescent="0.25">
      <c r="A2164">
        <v>-599825576</v>
      </c>
      <c r="B2164" t="s">
        <v>1085</v>
      </c>
      <c r="C2164" t="s">
        <v>593</v>
      </c>
      <c r="D2164" t="s">
        <v>440</v>
      </c>
      <c r="E2164" t="s">
        <v>336</v>
      </c>
      <c r="F2164">
        <v>50</v>
      </c>
      <c r="K2164" s="1">
        <v>46202.442557870374</v>
      </c>
      <c r="M2164" t="b">
        <v>0</v>
      </c>
      <c r="O2164" s="1">
        <v>46202.442557870374</v>
      </c>
    </row>
    <row r="2165" spans="1:15" x14ac:dyDescent="0.25">
      <c r="A2165">
        <v>-932870535</v>
      </c>
      <c r="B2165" t="s">
        <v>1085</v>
      </c>
      <c r="G2165">
        <v>41</v>
      </c>
      <c r="H2165" t="s">
        <v>29</v>
      </c>
      <c r="I2165">
        <v>128</v>
      </c>
      <c r="J2165">
        <v>128</v>
      </c>
      <c r="L2165" t="s">
        <v>12</v>
      </c>
      <c r="M2165" t="b">
        <v>0</v>
      </c>
      <c r="O2165" s="1">
        <v>46202.442557870374</v>
      </c>
    </row>
    <row r="2166" spans="1:15" x14ac:dyDescent="0.25">
      <c r="A2166">
        <v>1911118150</v>
      </c>
      <c r="B2166" t="s">
        <v>1085</v>
      </c>
      <c r="G2166">
        <v>58</v>
      </c>
      <c r="H2166" t="s">
        <v>32</v>
      </c>
      <c r="I2166">
        <v>262.5</v>
      </c>
      <c r="J2166">
        <v>262.89999999999998</v>
      </c>
      <c r="L2166" t="s">
        <v>12</v>
      </c>
      <c r="M2166" t="b">
        <v>0</v>
      </c>
      <c r="O2166" s="1">
        <v>46202.442557870374</v>
      </c>
    </row>
    <row r="2167" spans="1:15" x14ac:dyDescent="0.25">
      <c r="A2167">
        <v>532256079</v>
      </c>
      <c r="B2167" t="s">
        <v>1085</v>
      </c>
      <c r="G2167">
        <v>35</v>
      </c>
      <c r="H2167" t="s">
        <v>36</v>
      </c>
      <c r="I2167">
        <v>41.5</v>
      </c>
      <c r="J2167">
        <v>41.7</v>
      </c>
      <c r="L2167" t="s">
        <v>12</v>
      </c>
      <c r="M2167" t="b">
        <v>0</v>
      </c>
      <c r="O2167" s="1">
        <v>46202.442557870374</v>
      </c>
    </row>
    <row r="2168" spans="1:15" x14ac:dyDescent="0.25">
      <c r="A2168">
        <v>1485060324</v>
      </c>
      <c r="B2168" t="s">
        <v>1085</v>
      </c>
      <c r="G2168">
        <v>11</v>
      </c>
      <c r="H2168" t="s">
        <v>33</v>
      </c>
      <c r="I2168">
        <v>7.5</v>
      </c>
      <c r="J2168">
        <v>8.3000000000000007</v>
      </c>
      <c r="L2168" t="s">
        <v>15</v>
      </c>
      <c r="M2168" t="b">
        <v>0</v>
      </c>
      <c r="O2168" s="1">
        <v>46202.442557870374</v>
      </c>
    </row>
    <row r="2169" spans="1:15" x14ac:dyDescent="0.25">
      <c r="A2169">
        <v>1161599198</v>
      </c>
      <c r="B2169" t="s">
        <v>1086</v>
      </c>
      <c r="C2169" t="s">
        <v>593</v>
      </c>
      <c r="D2169" t="s">
        <v>440</v>
      </c>
      <c r="E2169" t="s">
        <v>336</v>
      </c>
      <c r="F2169">
        <v>50</v>
      </c>
      <c r="K2169" s="1">
        <v>46202.501770833333</v>
      </c>
      <c r="M2169" t="b">
        <v>0</v>
      </c>
      <c r="O2169" s="1">
        <v>46202.501770833333</v>
      </c>
    </row>
    <row r="2170" spans="1:15" x14ac:dyDescent="0.25">
      <c r="A2170">
        <v>-25275641</v>
      </c>
      <c r="B2170" t="s">
        <v>1086</v>
      </c>
      <c r="G2170">
        <v>41</v>
      </c>
      <c r="H2170" t="s">
        <v>29</v>
      </c>
      <c r="I2170">
        <v>128</v>
      </c>
      <c r="J2170">
        <v>0.2</v>
      </c>
      <c r="L2170" t="s">
        <v>15</v>
      </c>
      <c r="M2170" t="b">
        <v>0</v>
      </c>
      <c r="O2170" s="1">
        <v>46202.501770833333</v>
      </c>
    </row>
    <row r="2171" spans="1:15" x14ac:dyDescent="0.25">
      <c r="A2171">
        <v>428663356</v>
      </c>
      <c r="B2171" t="s">
        <v>1086</v>
      </c>
      <c r="G2171">
        <v>58</v>
      </c>
      <c r="H2171" t="s">
        <v>32</v>
      </c>
      <c r="I2171">
        <v>262.5</v>
      </c>
      <c r="J2171">
        <v>263.39999999999998</v>
      </c>
      <c r="L2171" t="s">
        <v>12</v>
      </c>
      <c r="M2171" t="b">
        <v>0</v>
      </c>
      <c r="O2171" s="1">
        <v>46202.501770833333</v>
      </c>
    </row>
    <row r="2172" spans="1:15" x14ac:dyDescent="0.25">
      <c r="A2172">
        <v>1946528909</v>
      </c>
      <c r="B2172" t="s">
        <v>1086</v>
      </c>
      <c r="G2172">
        <v>35</v>
      </c>
      <c r="H2172" t="s">
        <v>36</v>
      </c>
      <c r="I2172">
        <v>41.5</v>
      </c>
      <c r="J2172">
        <v>41.8</v>
      </c>
      <c r="L2172" t="s">
        <v>12</v>
      </c>
      <c r="M2172" t="b">
        <v>0</v>
      </c>
      <c r="O2172" s="1">
        <v>46202.501770833333</v>
      </c>
    </row>
    <row r="2173" spans="1:15" x14ac:dyDescent="0.25">
      <c r="A2173">
        <v>-1606024502</v>
      </c>
      <c r="B2173" t="s">
        <v>1086</v>
      </c>
      <c r="G2173">
        <v>11</v>
      </c>
      <c r="H2173" t="s">
        <v>33</v>
      </c>
      <c r="I2173">
        <v>7.5</v>
      </c>
      <c r="J2173">
        <v>8</v>
      </c>
      <c r="L2173" t="s">
        <v>15</v>
      </c>
      <c r="M2173" t="b">
        <v>0</v>
      </c>
      <c r="O2173" s="1">
        <v>46202.501770833333</v>
      </c>
    </row>
    <row r="2174" spans="1:15" x14ac:dyDescent="0.25">
      <c r="A2174">
        <v>892867573</v>
      </c>
      <c r="B2174" t="s">
        <v>1087</v>
      </c>
      <c r="C2174" t="s">
        <v>1058</v>
      </c>
      <c r="D2174" t="s">
        <v>1088</v>
      </c>
      <c r="E2174" t="s">
        <v>336</v>
      </c>
      <c r="F2174">
        <v>100</v>
      </c>
      <c r="K2174" s="1">
        <v>46202.584074074075</v>
      </c>
      <c r="M2174" t="b">
        <v>0</v>
      </c>
      <c r="O2174" s="1">
        <v>46202.584074074075</v>
      </c>
    </row>
    <row r="2175" spans="1:15" x14ac:dyDescent="0.25">
      <c r="A2175">
        <v>-1324769262</v>
      </c>
      <c r="B2175" t="s">
        <v>1087</v>
      </c>
      <c r="G2175">
        <v>41</v>
      </c>
      <c r="H2175" t="s">
        <v>29</v>
      </c>
      <c r="I2175">
        <v>2000</v>
      </c>
      <c r="J2175">
        <v>2000.6</v>
      </c>
      <c r="L2175" t="s">
        <v>12</v>
      </c>
      <c r="M2175" t="b">
        <v>0</v>
      </c>
      <c r="O2175" s="1">
        <v>46202.584074074075</v>
      </c>
    </row>
    <row r="2176" spans="1:15" x14ac:dyDescent="0.25">
      <c r="A2176">
        <v>-285126869</v>
      </c>
      <c r="B2176" t="s">
        <v>1087</v>
      </c>
      <c r="G2176">
        <v>4</v>
      </c>
      <c r="H2176" t="s">
        <v>27</v>
      </c>
      <c r="I2176">
        <v>160</v>
      </c>
      <c r="J2176">
        <v>161.19999999999999</v>
      </c>
      <c r="L2176" t="s">
        <v>12</v>
      </c>
      <c r="M2176" t="b">
        <v>0</v>
      </c>
      <c r="O2176" s="1">
        <v>46202.584074074075</v>
      </c>
    </row>
    <row r="2177" spans="1:15" x14ac:dyDescent="0.25">
      <c r="A2177">
        <v>1679527056</v>
      </c>
      <c r="B2177" t="s">
        <v>1087</v>
      </c>
      <c r="G2177">
        <v>44</v>
      </c>
      <c r="H2177" t="s">
        <v>16</v>
      </c>
      <c r="I2177">
        <v>50</v>
      </c>
      <c r="J2177">
        <v>50.9</v>
      </c>
      <c r="L2177" t="s">
        <v>15</v>
      </c>
      <c r="M2177" t="b">
        <v>0</v>
      </c>
      <c r="O2177" s="1">
        <v>46202.584074074075</v>
      </c>
    </row>
    <row r="2178" spans="1:15" x14ac:dyDescent="0.25">
      <c r="A2178">
        <v>-126085518</v>
      </c>
      <c r="B2178" t="s">
        <v>1089</v>
      </c>
      <c r="C2178" t="s">
        <v>518</v>
      </c>
      <c r="D2178" t="s">
        <v>223</v>
      </c>
      <c r="E2178" t="s">
        <v>313</v>
      </c>
      <c r="F2178">
        <v>50</v>
      </c>
      <c r="K2178" s="1">
        <v>46202.766319444447</v>
      </c>
      <c r="M2178" t="b">
        <v>0</v>
      </c>
      <c r="O2178" s="1">
        <v>46202.766319444447</v>
      </c>
    </row>
    <row r="2179" spans="1:15" x14ac:dyDescent="0.25">
      <c r="A2179">
        <v>209346059</v>
      </c>
      <c r="B2179" t="s">
        <v>1089</v>
      </c>
      <c r="G2179">
        <v>41</v>
      </c>
      <c r="H2179" t="s">
        <v>29</v>
      </c>
      <c r="I2179">
        <v>900</v>
      </c>
      <c r="J2179">
        <v>903.7</v>
      </c>
      <c r="L2179" t="s">
        <v>12</v>
      </c>
      <c r="M2179" t="b">
        <v>0</v>
      </c>
      <c r="O2179" s="1">
        <v>46202.766319444447</v>
      </c>
    </row>
    <row r="2180" spans="1:15" x14ac:dyDescent="0.25">
      <c r="A2180">
        <v>-1379898896</v>
      </c>
      <c r="B2180" t="s">
        <v>1089</v>
      </c>
      <c r="G2180">
        <v>4</v>
      </c>
      <c r="H2180" t="s">
        <v>27</v>
      </c>
      <c r="I2180">
        <v>16.399999999999999</v>
      </c>
      <c r="J2180">
        <v>16.5</v>
      </c>
      <c r="L2180" t="s">
        <v>12</v>
      </c>
      <c r="M2180" t="b">
        <v>0</v>
      </c>
      <c r="O2180" s="1">
        <v>46202.766319444447</v>
      </c>
    </row>
    <row r="2181" spans="1:15" x14ac:dyDescent="0.25">
      <c r="A2181">
        <v>905985841</v>
      </c>
      <c r="B2181" t="s">
        <v>1090</v>
      </c>
      <c r="C2181" t="s">
        <v>712</v>
      </c>
      <c r="D2181" t="s">
        <v>410</v>
      </c>
      <c r="E2181" t="s">
        <v>340</v>
      </c>
      <c r="F2181">
        <v>450</v>
      </c>
      <c r="K2181" s="1">
        <v>46202.779143518521</v>
      </c>
      <c r="M2181" t="b">
        <v>0</v>
      </c>
      <c r="O2181" s="1">
        <v>46202.779143518521</v>
      </c>
    </row>
    <row r="2182" spans="1:15" x14ac:dyDescent="0.25">
      <c r="A2182">
        <v>1309745566</v>
      </c>
      <c r="B2182" t="s">
        <v>1090</v>
      </c>
      <c r="G2182">
        <v>41</v>
      </c>
      <c r="H2182" t="s">
        <v>29</v>
      </c>
      <c r="I2182">
        <v>6300</v>
      </c>
      <c r="J2182">
        <v>6310.3</v>
      </c>
      <c r="L2182" t="s">
        <v>12</v>
      </c>
      <c r="M2182" t="b">
        <v>0</v>
      </c>
      <c r="O2182" s="1">
        <v>46202.779143518521</v>
      </c>
    </row>
    <row r="2183" spans="1:15" x14ac:dyDescent="0.25">
      <c r="A2183">
        <v>-290005817</v>
      </c>
      <c r="B2183" t="s">
        <v>1090</v>
      </c>
      <c r="G2183">
        <v>44</v>
      </c>
      <c r="H2183" t="s">
        <v>16</v>
      </c>
      <c r="I2183">
        <v>144</v>
      </c>
      <c r="J2183">
        <v>144.4</v>
      </c>
      <c r="L2183" t="s">
        <v>12</v>
      </c>
      <c r="M2183" t="b">
        <v>0</v>
      </c>
      <c r="O2183" s="1">
        <v>46202.779143518521</v>
      </c>
    </row>
    <row r="2184" spans="1:15" x14ac:dyDescent="0.25">
      <c r="A2184">
        <v>-817915652</v>
      </c>
      <c r="B2184" t="s">
        <v>1090</v>
      </c>
      <c r="G2184">
        <v>4</v>
      </c>
      <c r="H2184" t="s">
        <v>27</v>
      </c>
      <c r="I2184">
        <v>1350</v>
      </c>
      <c r="J2184">
        <v>1353.2</v>
      </c>
      <c r="L2184" t="s">
        <v>12</v>
      </c>
      <c r="M2184" t="b">
        <v>0</v>
      </c>
      <c r="O2184" s="1">
        <v>46202.779143518521</v>
      </c>
    </row>
    <row r="2185" spans="1:15" x14ac:dyDescent="0.25">
      <c r="A2185">
        <v>-459256755</v>
      </c>
      <c r="B2185" t="s">
        <v>1091</v>
      </c>
      <c r="C2185" t="s">
        <v>439</v>
      </c>
      <c r="D2185" t="s">
        <v>440</v>
      </c>
      <c r="E2185" t="s">
        <v>336</v>
      </c>
      <c r="F2185">
        <v>250</v>
      </c>
      <c r="K2185" s="1">
        <v>46202.782326388886</v>
      </c>
      <c r="M2185" t="b">
        <v>0</v>
      </c>
      <c r="O2185" s="1">
        <v>46202.782326388886</v>
      </c>
    </row>
    <row r="2186" spans="1:15" x14ac:dyDescent="0.25">
      <c r="A2186">
        <v>-2030397558</v>
      </c>
      <c r="B2186" t="s">
        <v>1091</v>
      </c>
      <c r="G2186">
        <v>41</v>
      </c>
      <c r="H2186" t="s">
        <v>29</v>
      </c>
      <c r="I2186">
        <v>1250</v>
      </c>
      <c r="J2186">
        <v>1248.5999999999999</v>
      </c>
      <c r="L2186" t="s">
        <v>12</v>
      </c>
      <c r="M2186" t="b">
        <v>0</v>
      </c>
      <c r="O2186" s="1">
        <v>46202.782326388886</v>
      </c>
    </row>
    <row r="2187" spans="1:15" x14ac:dyDescent="0.25">
      <c r="A2187">
        <v>-1900896445</v>
      </c>
      <c r="B2187" t="s">
        <v>1091</v>
      </c>
      <c r="G2187">
        <v>70</v>
      </c>
      <c r="H2187" t="s">
        <v>167</v>
      </c>
      <c r="I2187">
        <v>170</v>
      </c>
      <c r="J2187">
        <v>170</v>
      </c>
      <c r="L2187" t="s">
        <v>12</v>
      </c>
      <c r="M2187" t="b">
        <v>0</v>
      </c>
      <c r="O2187" s="1">
        <v>46202.782326388886</v>
      </c>
    </row>
    <row r="2188" spans="1:15" x14ac:dyDescent="0.25">
      <c r="A2188">
        <v>1379676360</v>
      </c>
      <c r="B2188" t="s">
        <v>1091</v>
      </c>
      <c r="G2188">
        <v>44</v>
      </c>
      <c r="H2188" t="s">
        <v>16</v>
      </c>
      <c r="I2188">
        <v>25</v>
      </c>
      <c r="J2188">
        <v>25.3</v>
      </c>
      <c r="L2188" t="s">
        <v>15</v>
      </c>
      <c r="M2188" t="b">
        <v>0</v>
      </c>
      <c r="O2188" s="1">
        <v>46202.782326388886</v>
      </c>
    </row>
    <row r="2189" spans="1:15" x14ac:dyDescent="0.25">
      <c r="A2189">
        <v>859324357</v>
      </c>
      <c r="B2189" t="s">
        <v>1092</v>
      </c>
      <c r="C2189" t="s">
        <v>1058</v>
      </c>
      <c r="D2189" t="s">
        <v>1059</v>
      </c>
      <c r="E2189" t="s">
        <v>336</v>
      </c>
      <c r="F2189">
        <v>50</v>
      </c>
      <c r="K2189" s="1">
        <v>46202.788483796299</v>
      </c>
      <c r="M2189" t="b">
        <v>0</v>
      </c>
      <c r="O2189" s="1">
        <v>46202.788483796299</v>
      </c>
    </row>
    <row r="2190" spans="1:15" x14ac:dyDescent="0.25">
      <c r="A2190">
        <v>1651389346</v>
      </c>
      <c r="B2190" t="s">
        <v>1092</v>
      </c>
      <c r="G2190">
        <v>41</v>
      </c>
      <c r="H2190" t="s">
        <v>29</v>
      </c>
      <c r="I2190">
        <v>530</v>
      </c>
      <c r="J2190">
        <v>530.9</v>
      </c>
      <c r="L2190" t="s">
        <v>12</v>
      </c>
      <c r="M2190" t="b">
        <v>0</v>
      </c>
      <c r="O2190" s="1">
        <v>46202.788483796299</v>
      </c>
    </row>
    <row r="2191" spans="1:15" x14ac:dyDescent="0.25">
      <c r="A2191">
        <v>-1908236421</v>
      </c>
      <c r="B2191" t="s">
        <v>1092</v>
      </c>
      <c r="G2191">
        <v>35</v>
      </c>
      <c r="H2191" t="s">
        <v>36</v>
      </c>
      <c r="I2191">
        <v>96</v>
      </c>
      <c r="J2191">
        <v>96.4</v>
      </c>
      <c r="L2191" t="s">
        <v>12</v>
      </c>
      <c r="M2191" t="b">
        <v>0</v>
      </c>
      <c r="O2191" s="1">
        <v>46202.788483796299</v>
      </c>
    </row>
    <row r="2192" spans="1:15" x14ac:dyDescent="0.25">
      <c r="A2192">
        <v>-1799452000</v>
      </c>
      <c r="B2192" t="s">
        <v>1092</v>
      </c>
      <c r="G2192">
        <v>44</v>
      </c>
      <c r="H2192" t="s">
        <v>16</v>
      </c>
      <c r="I2192">
        <v>5.4</v>
      </c>
      <c r="J2192">
        <v>5.4</v>
      </c>
      <c r="L2192" t="s">
        <v>12</v>
      </c>
      <c r="M2192" t="b">
        <v>0</v>
      </c>
      <c r="O2192" s="1">
        <v>46202.788483796299</v>
      </c>
    </row>
    <row r="2193" spans="1:15" x14ac:dyDescent="0.25">
      <c r="A2193">
        <v>-1072858563</v>
      </c>
      <c r="B2193" t="s">
        <v>1093</v>
      </c>
      <c r="C2193" t="s">
        <v>712</v>
      </c>
      <c r="D2193" t="s">
        <v>410</v>
      </c>
      <c r="E2193" t="s">
        <v>313</v>
      </c>
      <c r="F2193">
        <v>450</v>
      </c>
      <c r="K2193" s="1">
        <v>46202.808263888888</v>
      </c>
      <c r="M2193" t="b">
        <v>0</v>
      </c>
      <c r="O2193" s="1">
        <v>46202.808263888888</v>
      </c>
    </row>
    <row r="2194" spans="1:15" x14ac:dyDescent="0.25">
      <c r="A2194">
        <v>-59684166</v>
      </c>
      <c r="B2194" t="s">
        <v>1093</v>
      </c>
      <c r="G2194">
        <v>41</v>
      </c>
      <c r="H2194" t="s">
        <v>29</v>
      </c>
      <c r="I2194">
        <v>6300</v>
      </c>
      <c r="J2194">
        <v>0.4</v>
      </c>
      <c r="L2194" t="s">
        <v>15</v>
      </c>
      <c r="M2194" t="b">
        <v>0</v>
      </c>
      <c r="O2194" s="1">
        <v>46202.808263888888</v>
      </c>
    </row>
    <row r="2195" spans="1:15" x14ac:dyDescent="0.25">
      <c r="A2195">
        <v>-1249034573</v>
      </c>
      <c r="B2195" t="s">
        <v>1093</v>
      </c>
      <c r="G2195">
        <v>44</v>
      </c>
      <c r="H2195" t="s">
        <v>16</v>
      </c>
      <c r="I2195">
        <v>144</v>
      </c>
      <c r="J2195">
        <v>143.30000000000001</v>
      </c>
      <c r="L2195" t="s">
        <v>12</v>
      </c>
      <c r="M2195" t="b">
        <v>0</v>
      </c>
      <c r="O2195" s="1">
        <v>46202.808263888888</v>
      </c>
    </row>
    <row r="2196" spans="1:15" x14ac:dyDescent="0.25">
      <c r="A2196">
        <v>1038669688</v>
      </c>
      <c r="B2196" t="s">
        <v>1093</v>
      </c>
      <c r="G2196">
        <v>4</v>
      </c>
      <c r="H2196" t="s">
        <v>27</v>
      </c>
      <c r="I2196">
        <v>1350</v>
      </c>
      <c r="J2196">
        <v>1340.8</v>
      </c>
      <c r="L2196" t="s">
        <v>12</v>
      </c>
      <c r="M2196" t="b">
        <v>0</v>
      </c>
      <c r="O2196" s="1">
        <v>46202.808263888888</v>
      </c>
    </row>
    <row r="2197" spans="1:15" x14ac:dyDescent="0.25">
      <c r="A2197">
        <v>-552534050</v>
      </c>
      <c r="B2197" t="s">
        <v>1094</v>
      </c>
      <c r="C2197" t="s">
        <v>825</v>
      </c>
      <c r="D2197" t="s">
        <v>596</v>
      </c>
      <c r="E2197" t="s">
        <v>313</v>
      </c>
      <c r="F2197">
        <v>120</v>
      </c>
      <c r="K2197" s="1">
        <v>46190.689398148148</v>
      </c>
      <c r="M2197" t="b">
        <v>0</v>
      </c>
      <c r="O2197" s="1">
        <v>46190.689398148148</v>
      </c>
    </row>
    <row r="2198" spans="1:15" x14ac:dyDescent="0.25">
      <c r="A2198">
        <v>-1654755833</v>
      </c>
      <c r="B2198" t="s">
        <v>1094</v>
      </c>
      <c r="G2198">
        <v>41</v>
      </c>
      <c r="H2198" t="s">
        <v>29</v>
      </c>
      <c r="I2198">
        <v>816</v>
      </c>
      <c r="J2198">
        <v>816.2</v>
      </c>
      <c r="L2198" t="s">
        <v>12</v>
      </c>
      <c r="M2198" t="b">
        <v>0</v>
      </c>
      <c r="O2198" s="1">
        <v>46190.689398148148</v>
      </c>
    </row>
    <row r="2199" spans="1:15" x14ac:dyDescent="0.25">
      <c r="A2199">
        <v>523477308</v>
      </c>
      <c r="B2199" t="s">
        <v>1094</v>
      </c>
      <c r="G2199">
        <v>35</v>
      </c>
      <c r="H2199" t="s">
        <v>36</v>
      </c>
      <c r="I2199">
        <v>168</v>
      </c>
      <c r="J2199">
        <v>168.5</v>
      </c>
      <c r="L2199" t="s">
        <v>12</v>
      </c>
      <c r="M2199" t="b">
        <v>0</v>
      </c>
      <c r="O2199" s="1">
        <v>46190.689398148148</v>
      </c>
    </row>
    <row r="2200" spans="1:15" x14ac:dyDescent="0.25">
      <c r="A2200">
        <v>32456589</v>
      </c>
      <c r="B2200" t="s">
        <v>1094</v>
      </c>
      <c r="G2200">
        <v>44</v>
      </c>
      <c r="H2200" t="s">
        <v>16</v>
      </c>
      <c r="I2200">
        <v>56.4</v>
      </c>
      <c r="J2200">
        <v>56.6</v>
      </c>
      <c r="L2200" t="s">
        <v>12</v>
      </c>
      <c r="M2200" t="b">
        <v>0</v>
      </c>
      <c r="O2200" s="1">
        <v>46190.689398148148</v>
      </c>
    </row>
    <row r="2201" spans="1:15" x14ac:dyDescent="0.25">
      <c r="A2201">
        <v>724091983</v>
      </c>
      <c r="B2201" t="s">
        <v>1095</v>
      </c>
      <c r="C2201" t="s">
        <v>797</v>
      </c>
      <c r="D2201" t="s">
        <v>981</v>
      </c>
      <c r="E2201" t="s">
        <v>336</v>
      </c>
      <c r="F2201">
        <v>50</v>
      </c>
      <c r="K2201" s="1">
        <v>46213.157627314817</v>
      </c>
      <c r="M2201" t="b">
        <v>0</v>
      </c>
      <c r="O2201" s="1">
        <v>46213.157627314817</v>
      </c>
    </row>
    <row r="2202" spans="1:15" x14ac:dyDescent="0.25">
      <c r="A2202">
        <v>-11961372</v>
      </c>
      <c r="B2202" t="s">
        <v>1095</v>
      </c>
      <c r="G2202">
        <v>41</v>
      </c>
      <c r="H2202" t="s">
        <v>29</v>
      </c>
      <c r="I2202">
        <v>223</v>
      </c>
      <c r="J2202">
        <v>223.73</v>
      </c>
      <c r="L2202" t="s">
        <v>12</v>
      </c>
      <c r="M2202" t="b">
        <v>0</v>
      </c>
      <c r="O2202" s="1">
        <v>46213.157627314817</v>
      </c>
    </row>
    <row r="2203" spans="1:15" x14ac:dyDescent="0.25">
      <c r="A2203">
        <v>1782161173</v>
      </c>
      <c r="B2203" t="s">
        <v>1095</v>
      </c>
      <c r="G2203">
        <v>35</v>
      </c>
      <c r="H2203" t="s">
        <v>36</v>
      </c>
      <c r="I2203">
        <v>20</v>
      </c>
      <c r="J2203">
        <v>20.11</v>
      </c>
      <c r="L2203" t="s">
        <v>12</v>
      </c>
      <c r="M2203" t="b">
        <v>0</v>
      </c>
      <c r="O2203" s="1">
        <v>46213.157627314817</v>
      </c>
    </row>
    <row r="2204" spans="1:15" x14ac:dyDescent="0.25">
      <c r="A2204">
        <v>-1924279118</v>
      </c>
      <c r="B2204" t="s">
        <v>1095</v>
      </c>
      <c r="G2204">
        <v>44</v>
      </c>
      <c r="H2204" t="s">
        <v>16</v>
      </c>
      <c r="I2204">
        <v>7.25</v>
      </c>
      <c r="J2204">
        <v>7.27</v>
      </c>
      <c r="L2204" t="s">
        <v>12</v>
      </c>
      <c r="M2204" t="b">
        <v>0</v>
      </c>
      <c r="O2204" s="1">
        <v>46213.157627314817</v>
      </c>
    </row>
    <row r="2205" spans="1:15" x14ac:dyDescent="0.25">
      <c r="A2205">
        <v>2095890663</v>
      </c>
      <c r="B2205" t="s">
        <v>1096</v>
      </c>
      <c r="C2205" t="s">
        <v>1097</v>
      </c>
      <c r="D2205" t="s">
        <v>1098</v>
      </c>
      <c r="E2205" t="s">
        <v>340</v>
      </c>
      <c r="F2205">
        <v>50</v>
      </c>
      <c r="K2205" s="1">
        <v>46191.044791666667</v>
      </c>
      <c r="M2205" t="b">
        <v>0</v>
      </c>
      <c r="O2205" s="1">
        <v>46191.044791666667</v>
      </c>
    </row>
    <row r="2206" spans="1:15" x14ac:dyDescent="0.25">
      <c r="A2206">
        <v>-1582468452</v>
      </c>
      <c r="B2206" t="s">
        <v>1096</v>
      </c>
      <c r="G2206">
        <v>41</v>
      </c>
      <c r="H2206" t="s">
        <v>29</v>
      </c>
      <c r="I2206">
        <v>485</v>
      </c>
      <c r="J2206">
        <v>486.2</v>
      </c>
      <c r="L2206" t="s">
        <v>12</v>
      </c>
      <c r="M2206" t="b">
        <v>0</v>
      </c>
      <c r="O2206" s="1">
        <v>46191.044791666667</v>
      </c>
    </row>
    <row r="2207" spans="1:15" x14ac:dyDescent="0.25">
      <c r="A2207">
        <v>-613069459</v>
      </c>
      <c r="B2207" t="s">
        <v>1096</v>
      </c>
      <c r="G2207">
        <v>16</v>
      </c>
      <c r="H2207" t="s">
        <v>13</v>
      </c>
      <c r="I2207">
        <v>88</v>
      </c>
      <c r="J2207">
        <v>89.6</v>
      </c>
      <c r="L2207" t="s">
        <v>15</v>
      </c>
      <c r="M2207" t="b">
        <v>0</v>
      </c>
      <c r="O2207" s="1">
        <v>46191.044791666667</v>
      </c>
    </row>
    <row r="2208" spans="1:15" x14ac:dyDescent="0.25">
      <c r="A2208">
        <v>-244413910</v>
      </c>
      <c r="B2208" t="s">
        <v>1096</v>
      </c>
      <c r="G2208">
        <v>68</v>
      </c>
      <c r="H2208" t="s">
        <v>14</v>
      </c>
      <c r="I2208">
        <v>24</v>
      </c>
      <c r="J2208">
        <v>24.6</v>
      </c>
      <c r="L2208" t="s">
        <v>15</v>
      </c>
      <c r="M2208" t="b">
        <v>0</v>
      </c>
      <c r="O2208" s="1">
        <v>46191.044791666667</v>
      </c>
    </row>
    <row r="2209" spans="1:15" x14ac:dyDescent="0.25">
      <c r="A2209">
        <v>-2005890247</v>
      </c>
      <c r="B2209" t="s">
        <v>1099</v>
      </c>
      <c r="C2209" t="s">
        <v>593</v>
      </c>
      <c r="D2209" t="s">
        <v>605</v>
      </c>
      <c r="E2209" t="s">
        <v>340</v>
      </c>
      <c r="F2209">
        <v>50</v>
      </c>
      <c r="K2209" s="1">
        <v>46191.068182870367</v>
      </c>
      <c r="M2209" t="b">
        <v>0</v>
      </c>
      <c r="O2209" s="1">
        <v>46191.068182870367</v>
      </c>
    </row>
    <row r="2210" spans="1:15" x14ac:dyDescent="0.25">
      <c r="A2210">
        <v>-1977766138</v>
      </c>
      <c r="B2210" t="s">
        <v>1099</v>
      </c>
      <c r="G2210">
        <v>41</v>
      </c>
      <c r="H2210" t="s">
        <v>29</v>
      </c>
      <c r="I2210">
        <v>280</v>
      </c>
      <c r="J2210">
        <v>279.8</v>
      </c>
      <c r="L2210" t="s">
        <v>12</v>
      </c>
      <c r="M2210" t="b">
        <v>0</v>
      </c>
      <c r="O2210" s="1">
        <v>46191.068182870367</v>
      </c>
    </row>
    <row r="2211" spans="1:15" x14ac:dyDescent="0.25">
      <c r="A2211">
        <v>368519183</v>
      </c>
      <c r="B2211" t="s">
        <v>1099</v>
      </c>
      <c r="G2211">
        <v>58</v>
      </c>
      <c r="H2211" t="s">
        <v>32</v>
      </c>
      <c r="I2211">
        <v>400</v>
      </c>
      <c r="J2211">
        <v>399.8</v>
      </c>
      <c r="L2211" t="s">
        <v>12</v>
      </c>
      <c r="M2211" t="b">
        <v>0</v>
      </c>
      <c r="O2211" s="1">
        <v>46191.068182870367</v>
      </c>
    </row>
    <row r="2212" spans="1:15" x14ac:dyDescent="0.25">
      <c r="A2212">
        <v>-483425116</v>
      </c>
      <c r="B2212" t="s">
        <v>1099</v>
      </c>
      <c r="G2212">
        <v>59</v>
      </c>
      <c r="H2212" t="s">
        <v>31</v>
      </c>
      <c r="I2212">
        <v>40</v>
      </c>
      <c r="J2212">
        <v>40.1</v>
      </c>
      <c r="L2212" t="s">
        <v>12</v>
      </c>
      <c r="M2212" t="b">
        <v>0</v>
      </c>
      <c r="O2212" s="1">
        <v>46191.068182870367</v>
      </c>
    </row>
    <row r="2213" spans="1:15" x14ac:dyDescent="0.25">
      <c r="A2213">
        <v>-1786402603</v>
      </c>
      <c r="B2213" t="s">
        <v>1099</v>
      </c>
      <c r="G2213">
        <v>35</v>
      </c>
      <c r="H2213" t="s">
        <v>36</v>
      </c>
      <c r="I2213">
        <v>95</v>
      </c>
      <c r="J2213">
        <v>95</v>
      </c>
      <c r="L2213" t="s">
        <v>12</v>
      </c>
      <c r="M2213" t="b">
        <v>0</v>
      </c>
      <c r="O2213" s="1">
        <v>46191.068182870367</v>
      </c>
    </row>
    <row r="2214" spans="1:15" x14ac:dyDescent="0.25">
      <c r="A2214">
        <v>-538245070</v>
      </c>
      <c r="B2214" t="s">
        <v>1100</v>
      </c>
      <c r="C2214" t="s">
        <v>783</v>
      </c>
      <c r="D2214" t="s">
        <v>784</v>
      </c>
      <c r="E2214" t="s">
        <v>364</v>
      </c>
      <c r="F2214">
        <v>450</v>
      </c>
      <c r="K2214" s="1">
        <v>46191.220092592594</v>
      </c>
      <c r="M2214" t="b">
        <v>0</v>
      </c>
      <c r="O2214" s="1">
        <v>46191.220092592594</v>
      </c>
    </row>
    <row r="2215" spans="1:15" x14ac:dyDescent="0.25">
      <c r="A2215">
        <v>405626059</v>
      </c>
      <c r="B2215" t="s">
        <v>1100</v>
      </c>
      <c r="G2215">
        <v>41</v>
      </c>
      <c r="H2215" t="s">
        <v>29</v>
      </c>
      <c r="I2215">
        <v>7875</v>
      </c>
      <c r="J2215">
        <v>7904.3</v>
      </c>
      <c r="L2215" t="s">
        <v>12</v>
      </c>
      <c r="M2215" t="b">
        <v>0</v>
      </c>
      <c r="O2215" s="1">
        <v>46191.220092592594</v>
      </c>
    </row>
    <row r="2216" spans="1:15" x14ac:dyDescent="0.25">
      <c r="A2216">
        <v>2098704816</v>
      </c>
      <c r="B2216" t="s">
        <v>1100</v>
      </c>
      <c r="G2216">
        <v>35</v>
      </c>
      <c r="H2216" t="s">
        <v>36</v>
      </c>
      <c r="I2216">
        <v>225</v>
      </c>
      <c r="J2216">
        <v>225.5</v>
      </c>
      <c r="L2216" t="s">
        <v>12</v>
      </c>
      <c r="M2216" t="b">
        <v>0</v>
      </c>
      <c r="O2216" s="1">
        <v>46191.220092592594</v>
      </c>
    </row>
    <row r="2217" spans="1:15" x14ac:dyDescent="0.25">
      <c r="A2217">
        <v>1120820209</v>
      </c>
      <c r="B2217" t="s">
        <v>1100</v>
      </c>
      <c r="G2217">
        <v>16</v>
      </c>
      <c r="H2217" t="s">
        <v>13</v>
      </c>
      <c r="I2217">
        <v>765</v>
      </c>
      <c r="J2217">
        <v>764.6</v>
      </c>
      <c r="L2217" t="s">
        <v>12</v>
      </c>
      <c r="M2217" t="b">
        <v>0</v>
      </c>
      <c r="O2217" s="1">
        <v>46191.220092592594</v>
      </c>
    </row>
    <row r="2218" spans="1:15" x14ac:dyDescent="0.25">
      <c r="A2218">
        <v>740339550</v>
      </c>
      <c r="B2218" t="s">
        <v>1101</v>
      </c>
      <c r="C2218" t="s">
        <v>1102</v>
      </c>
      <c r="D2218" t="s">
        <v>603</v>
      </c>
      <c r="E2218" t="s">
        <v>313</v>
      </c>
      <c r="F2218">
        <v>250</v>
      </c>
      <c r="K2218" s="1">
        <v>46191.225335648145</v>
      </c>
      <c r="M2218" t="b">
        <v>0</v>
      </c>
      <c r="O2218" s="1">
        <v>46191.225335648145</v>
      </c>
    </row>
    <row r="2219" spans="1:15" x14ac:dyDescent="0.25">
      <c r="A2219">
        <v>-1597159545</v>
      </c>
      <c r="B2219" t="s">
        <v>1101</v>
      </c>
      <c r="G2219">
        <v>41</v>
      </c>
      <c r="H2219" t="s">
        <v>29</v>
      </c>
      <c r="I2219">
        <v>3350</v>
      </c>
      <c r="J2219">
        <v>3353.3</v>
      </c>
      <c r="L2219" t="s">
        <v>12</v>
      </c>
      <c r="M2219" t="b">
        <v>0</v>
      </c>
      <c r="O2219" s="1">
        <v>46191.225335648145</v>
      </c>
    </row>
    <row r="2220" spans="1:15" x14ac:dyDescent="0.25">
      <c r="A2220">
        <v>823712956</v>
      </c>
      <c r="B2220" t="s">
        <v>1101</v>
      </c>
      <c r="G2220">
        <v>4</v>
      </c>
      <c r="H2220" t="s">
        <v>27</v>
      </c>
      <c r="I2220">
        <v>375</v>
      </c>
      <c r="J2220">
        <v>377.1</v>
      </c>
      <c r="L2220" t="s">
        <v>12</v>
      </c>
      <c r="M2220" t="b">
        <v>0</v>
      </c>
      <c r="O2220" s="1">
        <v>46191.225335648145</v>
      </c>
    </row>
    <row r="2221" spans="1:15" x14ac:dyDescent="0.25">
      <c r="A2221">
        <v>2058335501</v>
      </c>
      <c r="B2221" t="s">
        <v>1101</v>
      </c>
      <c r="G2221">
        <v>59</v>
      </c>
      <c r="H2221" t="s">
        <v>31</v>
      </c>
      <c r="I2221">
        <v>25</v>
      </c>
      <c r="J2221">
        <v>25.8</v>
      </c>
      <c r="L2221" t="s">
        <v>15</v>
      </c>
      <c r="M2221" t="b">
        <v>0</v>
      </c>
      <c r="O2221" s="1">
        <v>46191.225335648145</v>
      </c>
    </row>
    <row r="2222" spans="1:15" x14ac:dyDescent="0.25">
      <c r="A2222">
        <v>801931594</v>
      </c>
      <c r="B2222" t="s">
        <v>1101</v>
      </c>
      <c r="G2222">
        <v>11</v>
      </c>
      <c r="H2222" t="s">
        <v>33</v>
      </c>
      <c r="I2222">
        <v>10</v>
      </c>
      <c r="J2222">
        <v>10.6</v>
      </c>
      <c r="L2222" t="s">
        <v>15</v>
      </c>
      <c r="M2222" t="b">
        <v>0</v>
      </c>
      <c r="O2222" s="1">
        <v>46191.225335648145</v>
      </c>
    </row>
    <row r="2223" spans="1:15" x14ac:dyDescent="0.25">
      <c r="A2223">
        <v>-2086980093</v>
      </c>
      <c r="B2223" t="s">
        <v>1103</v>
      </c>
      <c r="C2223" t="s">
        <v>593</v>
      </c>
      <c r="D2223" t="s">
        <v>603</v>
      </c>
      <c r="E2223" t="s">
        <v>313</v>
      </c>
      <c r="F2223">
        <v>50</v>
      </c>
      <c r="K2223" s="1">
        <v>46191.231828703705</v>
      </c>
      <c r="M2223" t="b">
        <v>0</v>
      </c>
      <c r="O2223" s="1">
        <v>46191.231828703705</v>
      </c>
    </row>
    <row r="2224" spans="1:15" x14ac:dyDescent="0.25">
      <c r="A2224">
        <v>1183789192</v>
      </c>
      <c r="B2224" t="s">
        <v>1103</v>
      </c>
      <c r="H2224" t="s">
        <v>29</v>
      </c>
      <c r="I2224">
        <v>500</v>
      </c>
      <c r="J2224">
        <v>503.2</v>
      </c>
      <c r="L2224" t="s">
        <v>12</v>
      </c>
      <c r="M2224" t="b">
        <v>0</v>
      </c>
      <c r="O2224" s="1">
        <v>46191.231828703705</v>
      </c>
    </row>
    <row r="2225" spans="1:15" x14ac:dyDescent="0.25">
      <c r="A2225">
        <v>-2033862679</v>
      </c>
      <c r="B2225" t="s">
        <v>1103</v>
      </c>
      <c r="G2225">
        <v>58</v>
      </c>
      <c r="H2225" t="s">
        <v>32</v>
      </c>
      <c r="I2225">
        <v>400</v>
      </c>
      <c r="J2225">
        <v>403.7</v>
      </c>
      <c r="L2225" t="s">
        <v>12</v>
      </c>
      <c r="M2225" t="b">
        <v>0</v>
      </c>
      <c r="O2225" s="1">
        <v>46191.231828703705</v>
      </c>
    </row>
    <row r="2226" spans="1:15" x14ac:dyDescent="0.25">
      <c r="A2226">
        <v>-2126730762</v>
      </c>
      <c r="B2226" t="s">
        <v>1103</v>
      </c>
      <c r="G2226">
        <v>35</v>
      </c>
      <c r="H2226" t="s">
        <v>36</v>
      </c>
      <c r="I2226">
        <v>50</v>
      </c>
      <c r="J2226">
        <v>50.8</v>
      </c>
      <c r="L2226" t="s">
        <v>15</v>
      </c>
      <c r="M2226" t="b">
        <v>0</v>
      </c>
      <c r="O2226" s="1">
        <v>46191.231828703705</v>
      </c>
    </row>
    <row r="2227" spans="1:15" x14ac:dyDescent="0.25">
      <c r="A2227">
        <v>1742529599</v>
      </c>
      <c r="B2227" t="s">
        <v>1103</v>
      </c>
      <c r="G2227">
        <v>59</v>
      </c>
      <c r="H2227" t="s">
        <v>31</v>
      </c>
      <c r="I2227">
        <v>25</v>
      </c>
      <c r="J2227">
        <v>25.4</v>
      </c>
      <c r="L2227" t="s">
        <v>15</v>
      </c>
      <c r="M2227" t="b">
        <v>0</v>
      </c>
      <c r="O2227" s="1">
        <v>46191.231828703705</v>
      </c>
    </row>
    <row r="2228" spans="1:15" x14ac:dyDescent="0.25">
      <c r="A2228">
        <v>919131353</v>
      </c>
      <c r="B2228" t="s">
        <v>1104</v>
      </c>
      <c r="C2228" t="s">
        <v>682</v>
      </c>
      <c r="D2228" t="s">
        <v>613</v>
      </c>
      <c r="E2228" t="s">
        <v>336</v>
      </c>
      <c r="F2228">
        <v>50</v>
      </c>
      <c r="K2228" s="1">
        <v>46191.291168981479</v>
      </c>
      <c r="M2228" t="b">
        <v>0</v>
      </c>
      <c r="O2228" s="1">
        <v>46191.291168981479</v>
      </c>
    </row>
    <row r="2229" spans="1:15" x14ac:dyDescent="0.25">
      <c r="A2229">
        <v>-909615066</v>
      </c>
      <c r="B2229" t="s">
        <v>1104</v>
      </c>
      <c r="G2229">
        <v>41</v>
      </c>
      <c r="H2229" t="s">
        <v>29</v>
      </c>
      <c r="I2229">
        <v>630</v>
      </c>
      <c r="J2229">
        <v>632.6</v>
      </c>
      <c r="L2229" t="s">
        <v>12</v>
      </c>
      <c r="M2229" t="b">
        <v>0</v>
      </c>
      <c r="O2229" s="1">
        <v>46191.291168981479</v>
      </c>
    </row>
    <row r="2230" spans="1:15" x14ac:dyDescent="0.25">
      <c r="A2230">
        <v>1243286191</v>
      </c>
      <c r="B2230" t="s">
        <v>1104</v>
      </c>
      <c r="G2230">
        <v>35</v>
      </c>
      <c r="H2230" t="s">
        <v>36</v>
      </c>
      <c r="I2230">
        <v>100</v>
      </c>
      <c r="J2230">
        <v>100.3</v>
      </c>
      <c r="L2230" t="s">
        <v>12</v>
      </c>
      <c r="M2230" t="b">
        <v>0</v>
      </c>
      <c r="O2230" s="1">
        <v>46191.291168981479</v>
      </c>
    </row>
    <row r="2231" spans="1:15" x14ac:dyDescent="0.25">
      <c r="A2231">
        <v>-753263932</v>
      </c>
      <c r="B2231" t="s">
        <v>1104</v>
      </c>
      <c r="G2231">
        <v>11</v>
      </c>
      <c r="H2231" t="s">
        <v>33</v>
      </c>
      <c r="I2231">
        <v>18</v>
      </c>
      <c r="J2231">
        <v>17.899999999999999</v>
      </c>
      <c r="L2231" t="s">
        <v>12</v>
      </c>
      <c r="M2231" t="b">
        <v>0</v>
      </c>
      <c r="O2231" s="1">
        <v>46191.291168981479</v>
      </c>
    </row>
    <row r="2232" spans="1:15" x14ac:dyDescent="0.25">
      <c r="A2232">
        <v>-1897604162</v>
      </c>
      <c r="B2232" t="s">
        <v>1105</v>
      </c>
      <c r="C2232" t="s">
        <v>680</v>
      </c>
      <c r="D2232" t="s">
        <v>497</v>
      </c>
      <c r="E2232" t="s">
        <v>364</v>
      </c>
      <c r="F2232">
        <v>200</v>
      </c>
      <c r="K2232" s="1">
        <v>46191.300069444442</v>
      </c>
      <c r="M2232" t="b">
        <v>0</v>
      </c>
      <c r="O2232" s="1">
        <v>46191.300069444442</v>
      </c>
    </row>
    <row r="2233" spans="1:15" x14ac:dyDescent="0.25">
      <c r="A2233">
        <v>1965511783</v>
      </c>
      <c r="B2233" t="s">
        <v>1105</v>
      </c>
      <c r="G2233">
        <v>41</v>
      </c>
      <c r="H2233" t="s">
        <v>29</v>
      </c>
      <c r="I2233">
        <v>1000</v>
      </c>
      <c r="J2233">
        <v>1001.1</v>
      </c>
      <c r="L2233" t="s">
        <v>12</v>
      </c>
      <c r="M2233" t="b">
        <v>0</v>
      </c>
      <c r="O2233" s="1">
        <v>46191.300069444442</v>
      </c>
    </row>
    <row r="2234" spans="1:15" x14ac:dyDescent="0.25">
      <c r="A2234">
        <v>1886898112</v>
      </c>
      <c r="B2234" t="s">
        <v>1106</v>
      </c>
      <c r="C2234" t="s">
        <v>338</v>
      </c>
      <c r="D2234" t="s">
        <v>958</v>
      </c>
      <c r="E2234" t="s">
        <v>336</v>
      </c>
      <c r="F2234">
        <v>50</v>
      </c>
      <c r="K2234" s="1">
        <v>46191.387152777781</v>
      </c>
      <c r="M2234" t="b">
        <v>0</v>
      </c>
      <c r="O2234" s="1">
        <v>46191.387152777781</v>
      </c>
    </row>
    <row r="2235" spans="1:15" x14ac:dyDescent="0.25">
      <c r="A2235">
        <v>-1836802879</v>
      </c>
      <c r="B2235" t="s">
        <v>1106</v>
      </c>
      <c r="H2235" t="s">
        <v>29</v>
      </c>
      <c r="I2235">
        <v>500</v>
      </c>
      <c r="J2235">
        <v>498.9</v>
      </c>
      <c r="L2235" t="s">
        <v>12</v>
      </c>
      <c r="M2235" t="b">
        <v>0</v>
      </c>
      <c r="O2235" s="1">
        <v>46191.387152777781</v>
      </c>
    </row>
    <row r="2236" spans="1:15" x14ac:dyDescent="0.25">
      <c r="A2236">
        <v>291828718</v>
      </c>
      <c r="B2236" t="s">
        <v>1106</v>
      </c>
      <c r="G2236">
        <v>51</v>
      </c>
      <c r="H2236" t="s">
        <v>137</v>
      </c>
      <c r="I2236">
        <v>34</v>
      </c>
      <c r="J2236">
        <v>34.700000000000003</v>
      </c>
      <c r="L2236" t="s">
        <v>15</v>
      </c>
      <c r="M2236" t="b">
        <v>0</v>
      </c>
      <c r="O2236" s="1">
        <v>46191.387152777781</v>
      </c>
    </row>
    <row r="2237" spans="1:15" x14ac:dyDescent="0.25">
      <c r="A2237">
        <v>-1754876713</v>
      </c>
      <c r="B2237" t="s">
        <v>1106</v>
      </c>
      <c r="G2237">
        <v>46</v>
      </c>
      <c r="H2237" t="s">
        <v>163</v>
      </c>
      <c r="I2237">
        <v>12.5</v>
      </c>
      <c r="J2237">
        <v>13.1</v>
      </c>
      <c r="L2237" t="s">
        <v>15</v>
      </c>
      <c r="M2237" t="b">
        <v>0</v>
      </c>
      <c r="O2237" s="1">
        <v>46191.387152777781</v>
      </c>
    </row>
    <row r="2238" spans="1:15" x14ac:dyDescent="0.25">
      <c r="A2238">
        <v>642184140</v>
      </c>
      <c r="B2238" t="s">
        <v>1107</v>
      </c>
      <c r="C2238" t="s">
        <v>593</v>
      </c>
      <c r="D2238">
        <v>17</v>
      </c>
      <c r="E2238" t="s">
        <v>336</v>
      </c>
      <c r="F2238">
        <v>50</v>
      </c>
      <c r="K2238" s="1">
        <v>46191.500231481485</v>
      </c>
      <c r="M2238" t="b">
        <v>0</v>
      </c>
      <c r="O2238" s="1">
        <v>46191.500231481485</v>
      </c>
    </row>
    <row r="2239" spans="1:15" x14ac:dyDescent="0.25">
      <c r="A2239">
        <v>1887576797</v>
      </c>
      <c r="B2239" t="s">
        <v>1107</v>
      </c>
      <c r="G2239">
        <v>41</v>
      </c>
      <c r="H2239" t="s">
        <v>29</v>
      </c>
      <c r="I2239">
        <v>600</v>
      </c>
      <c r="J2239">
        <v>600.6</v>
      </c>
      <c r="L2239" t="s">
        <v>12</v>
      </c>
      <c r="M2239" t="b">
        <v>0</v>
      </c>
      <c r="O2239" s="1">
        <v>46191.500231481485</v>
      </c>
    </row>
    <row r="2240" spans="1:15" x14ac:dyDescent="0.25">
      <c r="A2240">
        <v>-663572774</v>
      </c>
      <c r="B2240" t="s">
        <v>1107</v>
      </c>
      <c r="G2240">
        <v>58</v>
      </c>
      <c r="H2240" t="s">
        <v>32</v>
      </c>
      <c r="I2240">
        <v>300</v>
      </c>
      <c r="J2240">
        <v>300.8</v>
      </c>
      <c r="L2240" t="s">
        <v>12</v>
      </c>
      <c r="M2240" t="b">
        <v>0</v>
      </c>
      <c r="O2240" s="1">
        <v>46191.500231481485</v>
      </c>
    </row>
    <row r="2241" spans="1:15" x14ac:dyDescent="0.25">
      <c r="A2241">
        <v>163616851</v>
      </c>
      <c r="B2241" t="s">
        <v>1107</v>
      </c>
      <c r="G2241">
        <v>35</v>
      </c>
      <c r="H2241" t="s">
        <v>36</v>
      </c>
      <c r="I2241">
        <v>46</v>
      </c>
      <c r="J2241">
        <v>45.5</v>
      </c>
      <c r="L2241" t="s">
        <v>15</v>
      </c>
      <c r="M2241" t="b">
        <v>0</v>
      </c>
      <c r="O2241" s="1">
        <v>46191.500231481485</v>
      </c>
    </row>
    <row r="2242" spans="1:15" x14ac:dyDescent="0.25">
      <c r="A2242">
        <v>1970624664</v>
      </c>
      <c r="B2242" t="s">
        <v>1107</v>
      </c>
      <c r="G2242">
        <v>44</v>
      </c>
      <c r="H2242" t="s">
        <v>16</v>
      </c>
      <c r="I2242">
        <v>6</v>
      </c>
      <c r="J2242">
        <v>25.7</v>
      </c>
      <c r="L2242" t="s">
        <v>15</v>
      </c>
      <c r="M2242" t="b">
        <v>0</v>
      </c>
      <c r="O2242" s="1">
        <v>46191.500231481485</v>
      </c>
    </row>
    <row r="2243" spans="1:15" x14ac:dyDescent="0.25">
      <c r="A2243">
        <v>563340799</v>
      </c>
      <c r="B2243" t="s">
        <v>1108</v>
      </c>
      <c r="C2243" t="s">
        <v>682</v>
      </c>
      <c r="D2243" t="s">
        <v>613</v>
      </c>
      <c r="E2243" t="s">
        <v>336</v>
      </c>
      <c r="F2243">
        <v>50</v>
      </c>
      <c r="K2243" s="1">
        <v>46191.524467592593</v>
      </c>
      <c r="M2243" t="b">
        <v>0</v>
      </c>
      <c r="O2243" s="1">
        <v>46191.524467592593</v>
      </c>
    </row>
    <row r="2244" spans="1:15" x14ac:dyDescent="0.25">
      <c r="A2244">
        <v>-1939699756</v>
      </c>
      <c r="B2244" t="s">
        <v>1108</v>
      </c>
      <c r="G2244">
        <v>41</v>
      </c>
      <c r="H2244" t="s">
        <v>29</v>
      </c>
      <c r="I2244">
        <v>1000</v>
      </c>
      <c r="J2244">
        <v>996.5</v>
      </c>
      <c r="L2244" t="s">
        <v>12</v>
      </c>
      <c r="M2244" t="b">
        <v>0</v>
      </c>
      <c r="O2244" s="1">
        <v>46191.524467592593</v>
      </c>
    </row>
    <row r="2245" spans="1:15" x14ac:dyDescent="0.25">
      <c r="A2245">
        <v>73029701</v>
      </c>
      <c r="B2245" t="s">
        <v>1108</v>
      </c>
      <c r="G2245">
        <v>35</v>
      </c>
      <c r="H2245" t="s">
        <v>36</v>
      </c>
      <c r="I2245">
        <v>180</v>
      </c>
      <c r="J2245">
        <v>178.7</v>
      </c>
      <c r="L2245" t="s">
        <v>12</v>
      </c>
      <c r="M2245" t="b">
        <v>0</v>
      </c>
      <c r="O2245" s="1">
        <v>46191.524467592593</v>
      </c>
    </row>
    <row r="2246" spans="1:15" x14ac:dyDescent="0.25">
      <c r="A2246">
        <v>1735361058</v>
      </c>
      <c r="B2246" t="s">
        <v>1108</v>
      </c>
      <c r="G2246">
        <v>11</v>
      </c>
      <c r="H2246" t="s">
        <v>33</v>
      </c>
      <c r="I2246">
        <v>30</v>
      </c>
      <c r="J2246">
        <v>29.8</v>
      </c>
      <c r="L2246" t="s">
        <v>12</v>
      </c>
      <c r="M2246" t="b">
        <v>0</v>
      </c>
      <c r="O2246" s="1">
        <v>46191.524467592593</v>
      </c>
    </row>
    <row r="2247" spans="1:15" x14ac:dyDescent="0.25">
      <c r="A2247">
        <v>-1228205003</v>
      </c>
      <c r="B2247" t="s">
        <v>1109</v>
      </c>
      <c r="C2247" t="s">
        <v>593</v>
      </c>
      <c r="D2247" t="s">
        <v>603</v>
      </c>
      <c r="E2247" t="s">
        <v>313</v>
      </c>
      <c r="F2247">
        <v>100</v>
      </c>
      <c r="K2247" s="1">
        <v>46191.551678240743</v>
      </c>
      <c r="M2247" t="b">
        <v>0</v>
      </c>
      <c r="O2247" s="1">
        <v>46191.551678240743</v>
      </c>
    </row>
    <row r="2248" spans="1:15" x14ac:dyDescent="0.25">
      <c r="A2248">
        <v>1511664466</v>
      </c>
      <c r="B2248" t="s">
        <v>1109</v>
      </c>
      <c r="G2248">
        <v>41</v>
      </c>
      <c r="H2248" t="s">
        <v>29</v>
      </c>
      <c r="I2248">
        <v>1000</v>
      </c>
      <c r="J2248">
        <v>1003.6</v>
      </c>
      <c r="L2248" t="s">
        <v>12</v>
      </c>
      <c r="M2248" t="b">
        <v>0</v>
      </c>
      <c r="O2248" s="1">
        <v>46191.551678240743</v>
      </c>
    </row>
    <row r="2249" spans="1:15" x14ac:dyDescent="0.25">
      <c r="A2249">
        <v>335890795</v>
      </c>
      <c r="B2249" t="s">
        <v>1109</v>
      </c>
      <c r="G2249">
        <v>58</v>
      </c>
      <c r="H2249" t="s">
        <v>32</v>
      </c>
      <c r="I2249">
        <v>800</v>
      </c>
      <c r="J2249">
        <v>796.9</v>
      </c>
      <c r="L2249" t="s">
        <v>12</v>
      </c>
      <c r="M2249" t="b">
        <v>0</v>
      </c>
      <c r="O2249" s="1">
        <v>46191.551678240743</v>
      </c>
    </row>
    <row r="2250" spans="1:15" x14ac:dyDescent="0.25">
      <c r="A2250">
        <v>-928773680</v>
      </c>
      <c r="B2250" t="s">
        <v>1109</v>
      </c>
      <c r="G2250">
        <v>35</v>
      </c>
      <c r="H2250" t="s">
        <v>36</v>
      </c>
      <c r="I2250">
        <v>100</v>
      </c>
      <c r="J2250">
        <v>97</v>
      </c>
      <c r="L2250" t="s">
        <v>15</v>
      </c>
      <c r="M2250" t="b">
        <v>0</v>
      </c>
      <c r="O2250" s="1">
        <v>46191.551678240743</v>
      </c>
    </row>
    <row r="2251" spans="1:15" x14ac:dyDescent="0.25">
      <c r="A2251">
        <v>161913233</v>
      </c>
      <c r="B2251" t="s">
        <v>1109</v>
      </c>
      <c r="G2251">
        <v>59</v>
      </c>
      <c r="H2251" t="s">
        <v>31</v>
      </c>
      <c r="I2251">
        <v>50</v>
      </c>
      <c r="J2251">
        <v>50.4</v>
      </c>
      <c r="L2251" t="s">
        <v>12</v>
      </c>
      <c r="M2251" t="b">
        <v>0</v>
      </c>
      <c r="O2251" s="1">
        <v>46191.551678240743</v>
      </c>
    </row>
    <row r="2252" spans="1:15" x14ac:dyDescent="0.25">
      <c r="A2252">
        <v>-337008534</v>
      </c>
      <c r="B2252" t="s">
        <v>1110</v>
      </c>
      <c r="C2252" t="s">
        <v>430</v>
      </c>
      <c r="D2252" t="s">
        <v>431</v>
      </c>
      <c r="E2252" t="s">
        <v>313</v>
      </c>
      <c r="F2252">
        <v>50</v>
      </c>
      <c r="K2252" s="1">
        <v>46191.564502314817</v>
      </c>
      <c r="M2252" t="b">
        <v>0</v>
      </c>
      <c r="O2252" s="1">
        <v>46191.564502314817</v>
      </c>
    </row>
    <row r="2253" spans="1:15" x14ac:dyDescent="0.25">
      <c r="A2253">
        <v>-303966557</v>
      </c>
      <c r="B2253" t="s">
        <v>1110</v>
      </c>
      <c r="G2253">
        <v>41</v>
      </c>
      <c r="H2253" t="s">
        <v>29</v>
      </c>
      <c r="I2253">
        <v>640</v>
      </c>
      <c r="L2253" t="s">
        <v>15</v>
      </c>
      <c r="M2253" t="b">
        <v>0</v>
      </c>
      <c r="O2253" s="1">
        <v>46191.564502314817</v>
      </c>
    </row>
    <row r="2254" spans="1:15" x14ac:dyDescent="0.25">
      <c r="A2254">
        <v>1900620968</v>
      </c>
      <c r="B2254" t="s">
        <v>1110</v>
      </c>
      <c r="G2254">
        <v>35</v>
      </c>
      <c r="H2254" t="s">
        <v>36</v>
      </c>
      <c r="I2254">
        <v>90</v>
      </c>
      <c r="L2254" t="s">
        <v>15</v>
      </c>
      <c r="M2254" t="b">
        <v>0</v>
      </c>
      <c r="O2254" s="1">
        <v>46191.564502314817</v>
      </c>
    </row>
    <row r="2255" spans="1:15" x14ac:dyDescent="0.25">
      <c r="A2255">
        <v>-1979987575</v>
      </c>
      <c r="B2255" t="s">
        <v>1110</v>
      </c>
      <c r="G2255">
        <v>44</v>
      </c>
      <c r="H2255" t="s">
        <v>16</v>
      </c>
      <c r="I2255">
        <v>26</v>
      </c>
      <c r="L2255" t="s">
        <v>15</v>
      </c>
      <c r="M2255" t="b">
        <v>0</v>
      </c>
      <c r="O2255" s="1">
        <v>46191.564502314817</v>
      </c>
    </row>
    <row r="2256" spans="1:15" x14ac:dyDescent="0.25">
      <c r="A2256">
        <v>-309099754</v>
      </c>
      <c r="B2256" t="s">
        <v>1111</v>
      </c>
      <c r="C2256" t="s">
        <v>430</v>
      </c>
      <c r="D2256" t="s">
        <v>431</v>
      </c>
      <c r="E2256" t="s">
        <v>313</v>
      </c>
      <c r="F2256">
        <v>50</v>
      </c>
      <c r="K2256" s="1">
        <v>46191.565763888888</v>
      </c>
      <c r="M2256" t="b">
        <v>0</v>
      </c>
      <c r="O2256" s="1">
        <v>46191.565763888888</v>
      </c>
    </row>
    <row r="2257" spans="1:15" x14ac:dyDescent="0.25">
      <c r="A2257">
        <v>573820639</v>
      </c>
      <c r="B2257" t="s">
        <v>1111</v>
      </c>
      <c r="G2257">
        <v>41</v>
      </c>
      <c r="H2257" t="s">
        <v>29</v>
      </c>
      <c r="I2257">
        <v>640</v>
      </c>
      <c r="J2257">
        <v>637</v>
      </c>
      <c r="L2257" t="s">
        <v>12</v>
      </c>
      <c r="M2257" t="b">
        <v>0</v>
      </c>
      <c r="O2257" s="1">
        <v>46191.565763888888</v>
      </c>
    </row>
    <row r="2258" spans="1:15" x14ac:dyDescent="0.25">
      <c r="A2258">
        <v>733460276</v>
      </c>
      <c r="B2258" t="s">
        <v>1111</v>
      </c>
      <c r="G2258">
        <v>35</v>
      </c>
      <c r="H2258" t="s">
        <v>36</v>
      </c>
      <c r="I2258">
        <v>90</v>
      </c>
      <c r="J2258">
        <v>90.6</v>
      </c>
      <c r="L2258" t="s">
        <v>12</v>
      </c>
      <c r="M2258" t="b">
        <v>0</v>
      </c>
      <c r="O2258" s="1">
        <v>46191.565763888888</v>
      </c>
    </row>
    <row r="2259" spans="1:15" x14ac:dyDescent="0.25">
      <c r="A2259">
        <v>-2031883227</v>
      </c>
      <c r="B2259" t="s">
        <v>1111</v>
      </c>
      <c r="G2259">
        <v>44</v>
      </c>
      <c r="H2259" t="s">
        <v>16</v>
      </c>
      <c r="I2259">
        <v>26</v>
      </c>
      <c r="J2259">
        <v>25.8</v>
      </c>
      <c r="L2259" t="s">
        <v>12</v>
      </c>
      <c r="M2259" t="b">
        <v>0</v>
      </c>
      <c r="O2259" s="1">
        <v>46191.565763888888</v>
      </c>
    </row>
    <row r="2260" spans="1:15" x14ac:dyDescent="0.25">
      <c r="A2260">
        <v>-1942442135</v>
      </c>
      <c r="B2260" t="s">
        <v>1112</v>
      </c>
      <c r="C2260" t="s">
        <v>800</v>
      </c>
      <c r="D2260" t="s">
        <v>1113</v>
      </c>
      <c r="E2260" t="s">
        <v>364</v>
      </c>
      <c r="F2260">
        <v>120</v>
      </c>
      <c r="K2260" s="1">
        <v>46191.687847222223</v>
      </c>
      <c r="M2260" t="b">
        <v>0</v>
      </c>
      <c r="O2260" s="1">
        <v>46191.687847222223</v>
      </c>
    </row>
    <row r="2261" spans="1:15" x14ac:dyDescent="0.25">
      <c r="A2261">
        <v>550447990</v>
      </c>
      <c r="B2261" t="s">
        <v>1112</v>
      </c>
      <c r="G2261">
        <v>41</v>
      </c>
      <c r="H2261" t="s">
        <v>29</v>
      </c>
      <c r="I2261">
        <v>540</v>
      </c>
      <c r="J2261">
        <v>543.6</v>
      </c>
      <c r="L2261" t="s">
        <v>12</v>
      </c>
      <c r="M2261" t="b">
        <v>0</v>
      </c>
      <c r="O2261" s="1">
        <v>46191.687847222223</v>
      </c>
    </row>
    <row r="2262" spans="1:15" x14ac:dyDescent="0.25">
      <c r="A2262">
        <v>-185161793</v>
      </c>
      <c r="B2262" t="s">
        <v>1112</v>
      </c>
      <c r="G2262">
        <v>35</v>
      </c>
      <c r="H2262" t="s">
        <v>36</v>
      </c>
      <c r="I2262">
        <v>156</v>
      </c>
      <c r="J2262">
        <v>156.4</v>
      </c>
      <c r="L2262" t="s">
        <v>12</v>
      </c>
      <c r="M2262" t="b">
        <v>0</v>
      </c>
      <c r="O2262" s="1">
        <v>46191.687847222223</v>
      </c>
    </row>
    <row r="2263" spans="1:15" x14ac:dyDescent="0.25">
      <c r="A2263">
        <v>517019284</v>
      </c>
      <c r="B2263" t="s">
        <v>1112</v>
      </c>
      <c r="G2263">
        <v>44</v>
      </c>
      <c r="H2263" t="s">
        <v>16</v>
      </c>
      <c r="I2263">
        <v>26.4</v>
      </c>
      <c r="J2263">
        <v>26.4</v>
      </c>
      <c r="L2263" t="s">
        <v>12</v>
      </c>
      <c r="M2263" t="b">
        <v>0</v>
      </c>
      <c r="O2263" s="1">
        <v>46191.687847222223</v>
      </c>
    </row>
    <row r="2264" spans="1:15" x14ac:dyDescent="0.25">
      <c r="A2264">
        <v>-1515999518</v>
      </c>
      <c r="B2264" t="s">
        <v>1114</v>
      </c>
      <c r="C2264" t="s">
        <v>338</v>
      </c>
      <c r="D2264" t="s">
        <v>958</v>
      </c>
      <c r="E2264" t="s">
        <v>336</v>
      </c>
      <c r="F2264">
        <v>50</v>
      </c>
      <c r="K2264" s="1">
        <v>46191.716099537036</v>
      </c>
      <c r="M2264" t="b">
        <v>0</v>
      </c>
      <c r="O2264" s="1">
        <v>46191.716099537036</v>
      </c>
    </row>
    <row r="2265" spans="1:15" x14ac:dyDescent="0.25">
      <c r="A2265">
        <v>-77280837</v>
      </c>
      <c r="B2265" t="s">
        <v>1114</v>
      </c>
      <c r="G2265">
        <v>41</v>
      </c>
      <c r="H2265" t="s">
        <v>29</v>
      </c>
      <c r="I2265">
        <v>500</v>
      </c>
      <c r="J2265">
        <v>502.3</v>
      </c>
      <c r="L2265" t="s">
        <v>12</v>
      </c>
      <c r="M2265" t="b">
        <v>0</v>
      </c>
      <c r="O2265" s="1">
        <v>46191.716099537036</v>
      </c>
    </row>
    <row r="2266" spans="1:15" x14ac:dyDescent="0.25">
      <c r="A2266">
        <v>-977963040</v>
      </c>
      <c r="B2266" t="s">
        <v>1114</v>
      </c>
      <c r="G2266">
        <v>51</v>
      </c>
      <c r="H2266" t="s">
        <v>137</v>
      </c>
      <c r="I2266">
        <v>34</v>
      </c>
      <c r="J2266">
        <v>34.1</v>
      </c>
      <c r="L2266" t="s">
        <v>12</v>
      </c>
      <c r="M2266" t="b">
        <v>0</v>
      </c>
      <c r="O2266" s="1">
        <v>46191.716099537036</v>
      </c>
    </row>
    <row r="2267" spans="1:15" x14ac:dyDescent="0.25">
      <c r="A2267">
        <v>1654215265</v>
      </c>
      <c r="B2267" t="s">
        <v>1114</v>
      </c>
      <c r="G2267">
        <v>46</v>
      </c>
      <c r="H2267" t="s">
        <v>163</v>
      </c>
      <c r="I2267">
        <v>12.5</v>
      </c>
      <c r="J2267">
        <v>12.4</v>
      </c>
      <c r="L2267" t="s">
        <v>12</v>
      </c>
      <c r="M2267" t="b">
        <v>0</v>
      </c>
      <c r="O2267" s="1">
        <v>46191.716099537036</v>
      </c>
    </row>
    <row r="2268" spans="1:15" x14ac:dyDescent="0.25">
      <c r="A2268">
        <v>-168556526</v>
      </c>
      <c r="B2268" t="s">
        <v>1115</v>
      </c>
      <c r="C2268" t="s">
        <v>430</v>
      </c>
      <c r="D2268" t="s">
        <v>431</v>
      </c>
      <c r="E2268" t="s">
        <v>340</v>
      </c>
      <c r="F2268">
        <v>120</v>
      </c>
      <c r="K2268" s="1">
        <v>46191.738032407404</v>
      </c>
      <c r="M2268" t="b">
        <v>0</v>
      </c>
      <c r="O2268" s="1">
        <v>46191.738032407404</v>
      </c>
    </row>
    <row r="2269" spans="1:15" x14ac:dyDescent="0.25">
      <c r="A2269">
        <v>-1515874517</v>
      </c>
      <c r="B2269" t="s">
        <v>1115</v>
      </c>
      <c r="G2269">
        <v>41</v>
      </c>
      <c r="H2269" t="s">
        <v>29</v>
      </c>
      <c r="I2269">
        <v>1536</v>
      </c>
      <c r="J2269">
        <v>1535.1</v>
      </c>
      <c r="L2269" t="s">
        <v>12</v>
      </c>
      <c r="M2269" t="b">
        <v>0</v>
      </c>
      <c r="O2269" s="1">
        <v>46191.738032407404</v>
      </c>
    </row>
    <row r="2270" spans="1:15" x14ac:dyDescent="0.25">
      <c r="A2270">
        <v>397161616</v>
      </c>
      <c r="B2270" t="s">
        <v>1115</v>
      </c>
      <c r="G2270">
        <v>35</v>
      </c>
      <c r="H2270" t="s">
        <v>36</v>
      </c>
      <c r="I2270">
        <v>216</v>
      </c>
      <c r="J2270">
        <v>217.5</v>
      </c>
      <c r="L2270" t="s">
        <v>12</v>
      </c>
      <c r="M2270" t="b">
        <v>0</v>
      </c>
      <c r="O2270" s="1">
        <v>46191.738032407404</v>
      </c>
    </row>
    <row r="2271" spans="1:15" x14ac:dyDescent="0.25">
      <c r="A2271">
        <v>880713041</v>
      </c>
      <c r="B2271" t="s">
        <v>1115</v>
      </c>
      <c r="G2271">
        <v>44</v>
      </c>
      <c r="H2271" t="s">
        <v>16</v>
      </c>
      <c r="I2271">
        <v>62.4</v>
      </c>
      <c r="J2271">
        <v>62.1</v>
      </c>
      <c r="L2271" t="s">
        <v>12</v>
      </c>
      <c r="M2271" t="b">
        <v>0</v>
      </c>
      <c r="O2271" s="1">
        <v>46191.738032407404</v>
      </c>
    </row>
    <row r="2272" spans="1:15" x14ac:dyDescent="0.25">
      <c r="A2272">
        <v>1606971240</v>
      </c>
      <c r="B2272" t="s">
        <v>1116</v>
      </c>
      <c r="C2272" t="s">
        <v>430</v>
      </c>
      <c r="D2272" t="s">
        <v>431</v>
      </c>
      <c r="E2272" t="s">
        <v>313</v>
      </c>
      <c r="F2272">
        <v>50</v>
      </c>
      <c r="K2272" s="1">
        <v>46191.745381944442</v>
      </c>
      <c r="M2272" t="b">
        <v>0</v>
      </c>
      <c r="O2272" s="1">
        <v>46191.745381944442</v>
      </c>
    </row>
    <row r="2273" spans="1:15" x14ac:dyDescent="0.25">
      <c r="A2273">
        <v>-1135409847</v>
      </c>
      <c r="B2273" t="s">
        <v>1116</v>
      </c>
      <c r="G2273">
        <v>41</v>
      </c>
      <c r="H2273" t="s">
        <v>29</v>
      </c>
      <c r="I2273">
        <v>640</v>
      </c>
      <c r="J2273">
        <v>645.20000000000005</v>
      </c>
      <c r="L2273" t="s">
        <v>12</v>
      </c>
      <c r="M2273" t="b">
        <v>0</v>
      </c>
      <c r="O2273" s="1">
        <v>46191.745381944442</v>
      </c>
    </row>
    <row r="2274" spans="1:15" x14ac:dyDescent="0.25">
      <c r="A2274">
        <v>1452770262</v>
      </c>
      <c r="B2274" t="s">
        <v>1116</v>
      </c>
      <c r="G2274">
        <v>35</v>
      </c>
      <c r="H2274" t="s">
        <v>36</v>
      </c>
      <c r="I2274">
        <v>72</v>
      </c>
      <c r="J2274">
        <v>71.400000000000006</v>
      </c>
      <c r="L2274" t="s">
        <v>12</v>
      </c>
      <c r="M2274" t="b">
        <v>0</v>
      </c>
      <c r="O2274" s="1">
        <v>46191.745381944442</v>
      </c>
    </row>
    <row r="2275" spans="1:15" x14ac:dyDescent="0.25">
      <c r="A2275">
        <v>-1600884577</v>
      </c>
      <c r="B2275" t="s">
        <v>1116</v>
      </c>
      <c r="G2275">
        <v>44</v>
      </c>
      <c r="H2275" t="s">
        <v>16</v>
      </c>
      <c r="I2275">
        <v>30</v>
      </c>
      <c r="J2275">
        <v>30</v>
      </c>
      <c r="L2275" t="s">
        <v>12</v>
      </c>
      <c r="M2275" t="b">
        <v>0</v>
      </c>
      <c r="O2275" s="1">
        <v>46191.745381944442</v>
      </c>
    </row>
    <row r="2276" spans="1:15" x14ac:dyDescent="0.25">
      <c r="A2276">
        <v>-595739328</v>
      </c>
      <c r="B2276" t="s">
        <v>1117</v>
      </c>
      <c r="C2276" t="s">
        <v>430</v>
      </c>
      <c r="D2276" t="s">
        <v>1051</v>
      </c>
      <c r="E2276" t="s">
        <v>313</v>
      </c>
      <c r="F2276">
        <v>120</v>
      </c>
      <c r="K2276" s="1">
        <v>46191.765983796293</v>
      </c>
      <c r="M2276" t="b">
        <v>0</v>
      </c>
      <c r="O2276" s="1">
        <v>46191.765983796293</v>
      </c>
    </row>
    <row r="2277" spans="1:15" x14ac:dyDescent="0.25">
      <c r="A2277">
        <v>-903756735</v>
      </c>
      <c r="B2277" t="s">
        <v>1117</v>
      </c>
      <c r="G2277">
        <v>41</v>
      </c>
      <c r="H2277" t="s">
        <v>29</v>
      </c>
      <c r="I2277">
        <v>384</v>
      </c>
      <c r="J2277">
        <v>384.3</v>
      </c>
      <c r="L2277" t="s">
        <v>12</v>
      </c>
      <c r="M2277" t="b">
        <v>0</v>
      </c>
      <c r="O2277" s="1">
        <v>46191.765983796293</v>
      </c>
    </row>
    <row r="2278" spans="1:15" x14ac:dyDescent="0.25">
      <c r="A2278">
        <v>1770120558</v>
      </c>
      <c r="B2278" t="s">
        <v>1117</v>
      </c>
      <c r="G2278">
        <v>35</v>
      </c>
      <c r="H2278" t="s">
        <v>36</v>
      </c>
      <c r="I2278">
        <v>132</v>
      </c>
      <c r="J2278">
        <v>131</v>
      </c>
      <c r="L2278" t="s">
        <v>12</v>
      </c>
      <c r="M2278" t="b">
        <v>0</v>
      </c>
      <c r="O2278" s="1">
        <v>46191.765983796293</v>
      </c>
    </row>
    <row r="2279" spans="1:15" x14ac:dyDescent="0.25">
      <c r="A2279">
        <v>-176805801</v>
      </c>
      <c r="B2279" t="s">
        <v>1117</v>
      </c>
      <c r="G2279">
        <v>44</v>
      </c>
      <c r="H2279" t="s">
        <v>16</v>
      </c>
      <c r="I2279">
        <v>8.16</v>
      </c>
      <c r="J2279">
        <v>8.1999999999999993</v>
      </c>
      <c r="L2279" t="s">
        <v>12</v>
      </c>
      <c r="M2279" t="b">
        <v>0</v>
      </c>
      <c r="O2279" s="1">
        <v>46191.765983796293</v>
      </c>
    </row>
    <row r="2280" spans="1:15" x14ac:dyDescent="0.25">
      <c r="A2280">
        <v>612700656</v>
      </c>
      <c r="B2280" t="s">
        <v>1118</v>
      </c>
      <c r="C2280" t="s">
        <v>593</v>
      </c>
      <c r="D2280" t="s">
        <v>594</v>
      </c>
      <c r="E2280" t="s">
        <v>340</v>
      </c>
      <c r="F2280">
        <v>250</v>
      </c>
      <c r="K2280" s="1">
        <v>46191.847453703704</v>
      </c>
      <c r="M2280" t="b">
        <v>0</v>
      </c>
      <c r="O2280" s="1">
        <v>46191.847453703704</v>
      </c>
    </row>
    <row r="2281" spans="1:15" x14ac:dyDescent="0.25">
      <c r="A2281">
        <v>-981350607</v>
      </c>
      <c r="B2281" t="s">
        <v>1118</v>
      </c>
      <c r="G2281">
        <v>41</v>
      </c>
      <c r="H2281" t="s">
        <v>29</v>
      </c>
      <c r="I2281">
        <v>5000</v>
      </c>
      <c r="J2281">
        <v>5013.8999999999996</v>
      </c>
      <c r="L2281" t="s">
        <v>12</v>
      </c>
      <c r="M2281" t="b">
        <v>0</v>
      </c>
      <c r="O2281" s="1">
        <v>46191.847453703704</v>
      </c>
    </row>
    <row r="2282" spans="1:15" x14ac:dyDescent="0.25">
      <c r="A2282">
        <v>-402257506</v>
      </c>
      <c r="B2282" t="s">
        <v>1118</v>
      </c>
      <c r="G2282">
        <v>58</v>
      </c>
      <c r="H2282" t="s">
        <v>32</v>
      </c>
      <c r="I2282">
        <v>2175</v>
      </c>
      <c r="J2282">
        <v>2163.5</v>
      </c>
      <c r="L2282" t="s">
        <v>12</v>
      </c>
      <c r="M2282" t="b">
        <v>0</v>
      </c>
      <c r="O2282" s="1">
        <v>46191.847453703704</v>
      </c>
    </row>
    <row r="2283" spans="1:15" x14ac:dyDescent="0.25">
      <c r="A2283">
        <v>120825031</v>
      </c>
      <c r="B2283" t="s">
        <v>1118</v>
      </c>
      <c r="G2283">
        <v>35</v>
      </c>
      <c r="H2283" t="s">
        <v>36</v>
      </c>
      <c r="I2283">
        <v>437.5</v>
      </c>
      <c r="J2283">
        <v>438.8</v>
      </c>
      <c r="L2283" t="s">
        <v>12</v>
      </c>
      <c r="M2283" t="b">
        <v>0</v>
      </c>
      <c r="O2283" s="1">
        <v>46191.847453703704</v>
      </c>
    </row>
    <row r="2284" spans="1:15" x14ac:dyDescent="0.25">
      <c r="A2284">
        <v>642763948</v>
      </c>
      <c r="B2284" t="s">
        <v>1119</v>
      </c>
      <c r="C2284" t="s">
        <v>430</v>
      </c>
      <c r="D2284" t="s">
        <v>431</v>
      </c>
      <c r="E2284" t="s">
        <v>313</v>
      </c>
      <c r="F2284">
        <v>120</v>
      </c>
      <c r="K2284" s="1">
        <v>46191.875150462962</v>
      </c>
      <c r="M2284" t="b">
        <v>0</v>
      </c>
      <c r="O2284" s="1">
        <v>46191.875150462962</v>
      </c>
    </row>
    <row r="2285" spans="1:15" x14ac:dyDescent="0.25">
      <c r="A2285">
        <v>1021936189</v>
      </c>
      <c r="B2285" t="s">
        <v>1119</v>
      </c>
      <c r="G2285">
        <v>41</v>
      </c>
      <c r="H2285" t="s">
        <v>29</v>
      </c>
      <c r="I2285">
        <v>1536</v>
      </c>
      <c r="J2285">
        <v>1544.4</v>
      </c>
      <c r="L2285" t="s">
        <v>12</v>
      </c>
      <c r="M2285" t="b">
        <v>0</v>
      </c>
      <c r="O2285" s="1">
        <v>46191.875150462962</v>
      </c>
    </row>
    <row r="2286" spans="1:15" x14ac:dyDescent="0.25">
      <c r="A2286">
        <v>-1639009606</v>
      </c>
      <c r="B2286" t="s">
        <v>1119</v>
      </c>
      <c r="G2286">
        <v>35</v>
      </c>
      <c r="H2286" t="s">
        <v>36</v>
      </c>
      <c r="I2286">
        <v>172.8</v>
      </c>
      <c r="J2286">
        <v>173.7</v>
      </c>
      <c r="L2286" t="s">
        <v>12</v>
      </c>
      <c r="M2286" t="b">
        <v>0</v>
      </c>
      <c r="O2286" s="1">
        <v>46191.875150462962</v>
      </c>
    </row>
    <row r="2287" spans="1:15" x14ac:dyDescent="0.25">
      <c r="A2287">
        <v>350783155</v>
      </c>
      <c r="B2287" t="s">
        <v>1119</v>
      </c>
      <c r="G2287">
        <v>44</v>
      </c>
      <c r="H2287" t="s">
        <v>16</v>
      </c>
      <c r="I2287">
        <v>72</v>
      </c>
      <c r="J2287">
        <v>72.5</v>
      </c>
      <c r="L2287" t="s">
        <v>12</v>
      </c>
      <c r="M2287" t="b">
        <v>0</v>
      </c>
      <c r="O2287" s="1">
        <v>46191.875150462962</v>
      </c>
    </row>
    <row r="2288" spans="1:15" x14ac:dyDescent="0.25">
      <c r="A2288">
        <v>-513956629</v>
      </c>
      <c r="B2288" t="s">
        <v>1120</v>
      </c>
      <c r="C2288" t="s">
        <v>427</v>
      </c>
      <c r="D2288" t="s">
        <v>428</v>
      </c>
      <c r="E2288" t="s">
        <v>313</v>
      </c>
      <c r="F2288">
        <v>50</v>
      </c>
      <c r="K2288" s="1">
        <v>46191.995358796295</v>
      </c>
      <c r="M2288" t="b">
        <v>0</v>
      </c>
      <c r="O2288" s="1">
        <v>46191.995358796295</v>
      </c>
    </row>
    <row r="2289" spans="1:15" x14ac:dyDescent="0.25">
      <c r="A2289">
        <v>-1553916080</v>
      </c>
      <c r="B2289" t="s">
        <v>1120</v>
      </c>
      <c r="G2289">
        <v>41</v>
      </c>
      <c r="H2289" t="s">
        <v>29</v>
      </c>
      <c r="I2289">
        <v>400</v>
      </c>
      <c r="J2289">
        <v>401.6</v>
      </c>
      <c r="L2289" t="s">
        <v>12</v>
      </c>
      <c r="M2289" t="b">
        <v>0</v>
      </c>
      <c r="O2289" s="1">
        <v>46191.995358796295</v>
      </c>
    </row>
    <row r="2290" spans="1:15" x14ac:dyDescent="0.25">
      <c r="A2290">
        <v>1043620113</v>
      </c>
      <c r="B2290" t="s">
        <v>1120</v>
      </c>
      <c r="G2290">
        <v>50</v>
      </c>
      <c r="H2290" t="s">
        <v>157</v>
      </c>
      <c r="I2290">
        <v>80</v>
      </c>
      <c r="J2290">
        <v>50.8</v>
      </c>
      <c r="L2290" t="s">
        <v>15</v>
      </c>
      <c r="M2290" t="b">
        <v>0</v>
      </c>
      <c r="O2290" s="1">
        <v>46191.995358796295</v>
      </c>
    </row>
    <row r="2291" spans="1:15" x14ac:dyDescent="0.25">
      <c r="A2291">
        <v>-1381345794</v>
      </c>
      <c r="B2291" t="s">
        <v>1120</v>
      </c>
      <c r="G2291">
        <v>16</v>
      </c>
      <c r="H2291" t="s">
        <v>13</v>
      </c>
      <c r="I2291">
        <v>90</v>
      </c>
      <c r="J2291">
        <v>31.4</v>
      </c>
      <c r="L2291" t="s">
        <v>15</v>
      </c>
      <c r="M2291" t="b">
        <v>0</v>
      </c>
      <c r="O2291" s="1">
        <v>46191.995358796295</v>
      </c>
    </row>
    <row r="2292" spans="1:15" x14ac:dyDescent="0.25">
      <c r="A2292">
        <v>-957878649</v>
      </c>
      <c r="B2292" t="s">
        <v>1121</v>
      </c>
      <c r="C2292" t="s">
        <v>593</v>
      </c>
      <c r="D2292" t="s">
        <v>594</v>
      </c>
      <c r="E2292" t="s">
        <v>340</v>
      </c>
      <c r="F2292">
        <v>250</v>
      </c>
      <c r="K2292" s="1">
        <v>46192.075069444443</v>
      </c>
      <c r="M2292" t="b">
        <v>0</v>
      </c>
      <c r="O2292" s="1">
        <v>46192.075069444443</v>
      </c>
    </row>
    <row r="2293" spans="1:15" x14ac:dyDescent="0.25">
      <c r="A2293">
        <v>-1781385284</v>
      </c>
      <c r="B2293" t="s">
        <v>1121</v>
      </c>
      <c r="G2293">
        <v>41</v>
      </c>
      <c r="H2293" t="s">
        <v>29</v>
      </c>
      <c r="I2293">
        <v>5000</v>
      </c>
      <c r="J2293">
        <v>5035.6000000000004</v>
      </c>
      <c r="L2293" t="s">
        <v>12</v>
      </c>
      <c r="M2293" t="b">
        <v>0</v>
      </c>
      <c r="O2293" s="1">
        <v>46192.075069444443</v>
      </c>
    </row>
    <row r="2294" spans="1:15" x14ac:dyDescent="0.25">
      <c r="A2294">
        <v>1996928013</v>
      </c>
      <c r="B2294" t="s">
        <v>1121</v>
      </c>
      <c r="G2294">
        <v>58</v>
      </c>
      <c r="H2294" t="s">
        <v>32</v>
      </c>
      <c r="I2294">
        <v>200</v>
      </c>
      <c r="J2294">
        <v>200.4</v>
      </c>
      <c r="L2294" t="s">
        <v>12</v>
      </c>
      <c r="M2294" t="b">
        <v>0</v>
      </c>
      <c r="O2294" s="1">
        <v>46192.075069444443</v>
      </c>
    </row>
    <row r="2295" spans="1:15" x14ac:dyDescent="0.25">
      <c r="A2295">
        <v>1949389898</v>
      </c>
      <c r="B2295" t="s">
        <v>1121</v>
      </c>
      <c r="G2295">
        <v>35</v>
      </c>
      <c r="H2295" t="s">
        <v>36</v>
      </c>
      <c r="I2295">
        <v>600</v>
      </c>
      <c r="J2295">
        <v>601.29999999999995</v>
      </c>
      <c r="L2295" t="s">
        <v>12</v>
      </c>
      <c r="M2295" t="b">
        <v>0</v>
      </c>
      <c r="O2295" s="1">
        <v>46192.075069444443</v>
      </c>
    </row>
    <row r="2296" spans="1:15" x14ac:dyDescent="0.25">
      <c r="A2296">
        <v>-1077974209</v>
      </c>
      <c r="B2296" t="s">
        <v>1122</v>
      </c>
      <c r="C2296" t="s">
        <v>593</v>
      </c>
      <c r="D2296" t="s">
        <v>594</v>
      </c>
      <c r="E2296" t="s">
        <v>340</v>
      </c>
      <c r="F2296">
        <v>250</v>
      </c>
      <c r="K2296" s="1">
        <v>46192.103530092594</v>
      </c>
      <c r="M2296" t="b">
        <v>0</v>
      </c>
      <c r="O2296" s="1">
        <v>46192.103530092594</v>
      </c>
    </row>
    <row r="2297" spans="1:15" x14ac:dyDescent="0.25">
      <c r="A2297">
        <v>-2084539372</v>
      </c>
      <c r="B2297" t="s">
        <v>1122</v>
      </c>
      <c r="H2297" t="s">
        <v>29</v>
      </c>
      <c r="I2297">
        <v>5000</v>
      </c>
      <c r="J2297">
        <v>5009.8999999999996</v>
      </c>
      <c r="L2297" t="s">
        <v>12</v>
      </c>
      <c r="M2297" t="b">
        <v>0</v>
      </c>
      <c r="O2297" s="1">
        <v>46192.103530092594</v>
      </c>
    </row>
    <row r="2298" spans="1:15" x14ac:dyDescent="0.25">
      <c r="A2298">
        <v>-1306632315</v>
      </c>
      <c r="B2298" t="s">
        <v>1122</v>
      </c>
      <c r="G2298">
        <v>58</v>
      </c>
      <c r="H2298" t="s">
        <v>32</v>
      </c>
      <c r="I2298">
        <v>2000</v>
      </c>
      <c r="J2298">
        <v>2002.3</v>
      </c>
      <c r="L2298" t="s">
        <v>12</v>
      </c>
      <c r="M2298" t="b">
        <v>0</v>
      </c>
      <c r="O2298" s="1">
        <v>46192.103530092594</v>
      </c>
    </row>
    <row r="2299" spans="1:15" x14ac:dyDescent="0.25">
      <c r="A2299">
        <v>-1587001246</v>
      </c>
      <c r="B2299" t="s">
        <v>1122</v>
      </c>
      <c r="G2299">
        <v>35</v>
      </c>
      <c r="H2299" t="s">
        <v>36</v>
      </c>
      <c r="I2299">
        <v>400</v>
      </c>
      <c r="J2299">
        <v>401.4</v>
      </c>
      <c r="L2299" t="s">
        <v>12</v>
      </c>
      <c r="M2299" t="b">
        <v>0</v>
      </c>
      <c r="O2299" s="1">
        <v>46192.103530092594</v>
      </c>
    </row>
    <row r="2300" spans="1:15" x14ac:dyDescent="0.25">
      <c r="A2300">
        <v>1093983347</v>
      </c>
      <c r="B2300" t="s">
        <v>1123</v>
      </c>
      <c r="C2300" t="s">
        <v>810</v>
      </c>
      <c r="D2300" t="s">
        <v>482</v>
      </c>
      <c r="E2300" t="s">
        <v>340</v>
      </c>
      <c r="F2300">
        <v>450</v>
      </c>
      <c r="K2300" s="1">
        <v>46192.130254629628</v>
      </c>
      <c r="M2300" t="b">
        <v>0</v>
      </c>
      <c r="O2300" s="1">
        <v>46192.130254629628</v>
      </c>
    </row>
    <row r="2301" spans="1:15" x14ac:dyDescent="0.25">
      <c r="A2301">
        <v>303698488</v>
      </c>
      <c r="B2301" t="s">
        <v>1123</v>
      </c>
      <c r="G2301">
        <v>41</v>
      </c>
      <c r="H2301" t="s">
        <v>29</v>
      </c>
      <c r="I2301">
        <v>1620</v>
      </c>
      <c r="J2301">
        <v>1623.7</v>
      </c>
      <c r="L2301" t="s">
        <v>12</v>
      </c>
      <c r="M2301" t="b">
        <v>0</v>
      </c>
      <c r="O2301" s="1">
        <v>46192.130254629628</v>
      </c>
    </row>
    <row r="2302" spans="1:15" x14ac:dyDescent="0.25">
      <c r="A2302">
        <v>284394457</v>
      </c>
      <c r="B2302" t="s">
        <v>1123</v>
      </c>
      <c r="G2302">
        <v>35</v>
      </c>
      <c r="H2302" t="s">
        <v>36</v>
      </c>
      <c r="I2302">
        <v>517.5</v>
      </c>
      <c r="J2302">
        <v>518.5</v>
      </c>
      <c r="L2302" t="s">
        <v>12</v>
      </c>
      <c r="M2302" t="b">
        <v>0</v>
      </c>
      <c r="O2302" s="1">
        <v>46192.130254629628</v>
      </c>
    </row>
    <row r="2303" spans="1:15" x14ac:dyDescent="0.25">
      <c r="A2303">
        <v>1015227174</v>
      </c>
      <c r="B2303" t="s">
        <v>1123</v>
      </c>
      <c r="G2303">
        <v>44</v>
      </c>
      <c r="H2303" t="s">
        <v>16</v>
      </c>
      <c r="I2303">
        <v>112.5</v>
      </c>
      <c r="J2303">
        <v>113.9</v>
      </c>
      <c r="L2303" t="s">
        <v>15</v>
      </c>
      <c r="M2303" t="b">
        <v>0</v>
      </c>
      <c r="O2303" s="1">
        <v>46192.130254629628</v>
      </c>
    </row>
    <row r="2304" spans="1:15" x14ac:dyDescent="0.25">
      <c r="A2304">
        <v>1988721511</v>
      </c>
      <c r="B2304" t="s">
        <v>1124</v>
      </c>
      <c r="C2304" t="s">
        <v>1125</v>
      </c>
      <c r="D2304">
        <v>66</v>
      </c>
      <c r="E2304" t="s">
        <v>313</v>
      </c>
      <c r="F2304">
        <v>120</v>
      </c>
      <c r="K2304" s="1">
        <v>46192.149756944447</v>
      </c>
      <c r="M2304" t="b">
        <v>0</v>
      </c>
      <c r="O2304" s="1">
        <v>46192.149756944447</v>
      </c>
    </row>
    <row r="2305" spans="1:15" x14ac:dyDescent="0.25">
      <c r="A2305">
        <v>1909013276</v>
      </c>
      <c r="B2305" t="s">
        <v>1124</v>
      </c>
      <c r="G2305">
        <v>41</v>
      </c>
      <c r="H2305" t="s">
        <v>29</v>
      </c>
      <c r="I2305">
        <v>1296</v>
      </c>
      <c r="J2305">
        <v>1296.5999999999999</v>
      </c>
      <c r="L2305" t="s">
        <v>12</v>
      </c>
      <c r="M2305" t="b">
        <v>0</v>
      </c>
      <c r="O2305" s="1">
        <v>46192.149756944447</v>
      </c>
    </row>
    <row r="2306" spans="1:15" x14ac:dyDescent="0.25">
      <c r="A2306">
        <v>108694509</v>
      </c>
      <c r="B2306" t="s">
        <v>1124</v>
      </c>
      <c r="G2306">
        <v>49</v>
      </c>
      <c r="H2306" t="s">
        <v>181</v>
      </c>
      <c r="I2306">
        <v>300</v>
      </c>
      <c r="J2306">
        <v>300.2</v>
      </c>
      <c r="L2306" t="s">
        <v>12</v>
      </c>
      <c r="M2306" t="b">
        <v>0</v>
      </c>
      <c r="O2306" s="1">
        <v>46192.149756944447</v>
      </c>
    </row>
    <row r="2307" spans="1:15" x14ac:dyDescent="0.25">
      <c r="A2307">
        <v>1468106410</v>
      </c>
      <c r="B2307" t="s">
        <v>1124</v>
      </c>
      <c r="G2307">
        <v>4</v>
      </c>
      <c r="H2307" t="s">
        <v>27</v>
      </c>
      <c r="I2307">
        <v>396</v>
      </c>
      <c r="J2307">
        <v>397.4</v>
      </c>
      <c r="L2307" t="s">
        <v>12</v>
      </c>
      <c r="M2307" t="b">
        <v>0</v>
      </c>
      <c r="O2307" s="1">
        <v>46192.149756944447</v>
      </c>
    </row>
    <row r="2308" spans="1:15" x14ac:dyDescent="0.25">
      <c r="A2308">
        <v>-1457021925</v>
      </c>
      <c r="B2308" t="s">
        <v>1126</v>
      </c>
      <c r="C2308" t="s">
        <v>974</v>
      </c>
      <c r="D2308" t="s">
        <v>603</v>
      </c>
      <c r="E2308" t="s">
        <v>340</v>
      </c>
      <c r="F2308">
        <v>120</v>
      </c>
      <c r="K2308" s="1">
        <v>46192.230520833335</v>
      </c>
      <c r="M2308" t="b">
        <v>0</v>
      </c>
      <c r="O2308" s="1">
        <v>46192.230520833335</v>
      </c>
    </row>
    <row r="2309" spans="1:15" x14ac:dyDescent="0.25">
      <c r="A2309">
        <v>301380288</v>
      </c>
      <c r="B2309" t="s">
        <v>1126</v>
      </c>
      <c r="H2309" t="s">
        <v>29</v>
      </c>
      <c r="I2309">
        <v>1080</v>
      </c>
      <c r="J2309">
        <v>1082.5999999999999</v>
      </c>
      <c r="L2309" t="s">
        <v>12</v>
      </c>
      <c r="M2309" t="b">
        <v>0</v>
      </c>
      <c r="O2309" s="1">
        <v>46192.230520833335</v>
      </c>
    </row>
    <row r="2310" spans="1:15" x14ac:dyDescent="0.25">
      <c r="A2310">
        <v>-1124734015</v>
      </c>
      <c r="B2310" t="s">
        <v>1126</v>
      </c>
      <c r="G2310">
        <v>35</v>
      </c>
      <c r="H2310" t="s">
        <v>36</v>
      </c>
      <c r="I2310">
        <v>36</v>
      </c>
      <c r="J2310">
        <v>36</v>
      </c>
      <c r="L2310" t="s">
        <v>12</v>
      </c>
      <c r="M2310" t="b">
        <v>0</v>
      </c>
      <c r="O2310" s="1">
        <v>46192.230520833335</v>
      </c>
    </row>
    <row r="2311" spans="1:15" x14ac:dyDescent="0.25">
      <c r="A2311">
        <v>340383470</v>
      </c>
      <c r="B2311" t="s">
        <v>1126</v>
      </c>
      <c r="G2311">
        <v>59</v>
      </c>
      <c r="H2311" t="s">
        <v>31</v>
      </c>
      <c r="I2311">
        <v>60</v>
      </c>
      <c r="J2311">
        <v>60</v>
      </c>
      <c r="L2311" t="s">
        <v>12</v>
      </c>
      <c r="M2311" t="b">
        <v>0</v>
      </c>
      <c r="O2311" s="1">
        <v>46192.230520833335</v>
      </c>
    </row>
    <row r="2312" spans="1:15" x14ac:dyDescent="0.25">
      <c r="A2312">
        <v>-2021830001</v>
      </c>
      <c r="B2312" t="s">
        <v>1127</v>
      </c>
      <c r="C2312" t="s">
        <v>800</v>
      </c>
      <c r="D2312" t="s">
        <v>816</v>
      </c>
      <c r="E2312" t="s">
        <v>364</v>
      </c>
      <c r="F2312">
        <v>50</v>
      </c>
      <c r="K2312" s="1">
        <v>46192.270972222221</v>
      </c>
      <c r="M2312" t="b">
        <v>0</v>
      </c>
      <c r="O2312" s="1">
        <v>46192.270972222221</v>
      </c>
    </row>
    <row r="2313" spans="1:15" x14ac:dyDescent="0.25">
      <c r="A2313">
        <v>-2114716380</v>
      </c>
      <c r="B2313" t="s">
        <v>1127</v>
      </c>
      <c r="H2313" t="s">
        <v>29</v>
      </c>
      <c r="I2313">
        <v>540</v>
      </c>
      <c r="J2313">
        <v>541.70000000000005</v>
      </c>
      <c r="L2313" t="s">
        <v>12</v>
      </c>
      <c r="M2313" t="b">
        <v>0</v>
      </c>
      <c r="O2313" s="1">
        <v>46192.270972222221</v>
      </c>
    </row>
    <row r="2314" spans="1:15" x14ac:dyDescent="0.25">
      <c r="A2314">
        <v>-1571694763</v>
      </c>
      <c r="B2314" t="s">
        <v>1127</v>
      </c>
      <c r="G2314">
        <v>44</v>
      </c>
      <c r="H2314" t="s">
        <v>16</v>
      </c>
      <c r="I2314">
        <v>69</v>
      </c>
      <c r="J2314">
        <v>69.599999999999994</v>
      </c>
      <c r="L2314" t="s">
        <v>12</v>
      </c>
      <c r="M2314" t="b">
        <v>0</v>
      </c>
      <c r="O2314" s="1">
        <v>46192.270972222221</v>
      </c>
    </row>
    <row r="2315" spans="1:15" x14ac:dyDescent="0.25">
      <c r="A2315">
        <v>-65456142</v>
      </c>
      <c r="B2315" t="s">
        <v>1127</v>
      </c>
      <c r="G2315">
        <v>4</v>
      </c>
      <c r="H2315" t="s">
        <v>27</v>
      </c>
      <c r="I2315">
        <v>90</v>
      </c>
      <c r="J2315">
        <v>91.3</v>
      </c>
      <c r="L2315" t="s">
        <v>15</v>
      </c>
      <c r="M2315" t="b">
        <v>0</v>
      </c>
      <c r="O2315" s="1">
        <v>46192.270972222221</v>
      </c>
    </row>
    <row r="2316" spans="1:15" x14ac:dyDescent="0.25">
      <c r="A2316">
        <v>-1154334325</v>
      </c>
      <c r="B2316" t="s">
        <v>1127</v>
      </c>
      <c r="G2316">
        <v>68</v>
      </c>
      <c r="H2316" t="s">
        <v>14</v>
      </c>
      <c r="I2316">
        <v>12.5</v>
      </c>
      <c r="J2316">
        <v>12.4</v>
      </c>
      <c r="L2316" t="s">
        <v>12</v>
      </c>
      <c r="M2316" t="b">
        <v>0</v>
      </c>
      <c r="O2316" s="1">
        <v>46192.270972222221</v>
      </c>
    </row>
    <row r="2317" spans="1:15" x14ac:dyDescent="0.25">
      <c r="A2317">
        <v>-92772496</v>
      </c>
      <c r="B2317" t="s">
        <v>1128</v>
      </c>
      <c r="C2317" t="s">
        <v>718</v>
      </c>
      <c r="D2317" t="s">
        <v>719</v>
      </c>
      <c r="E2317" t="s">
        <v>336</v>
      </c>
      <c r="F2317">
        <v>370</v>
      </c>
      <c r="K2317" s="1">
        <v>46192.283043981479</v>
      </c>
      <c r="M2317" t="b">
        <v>0</v>
      </c>
      <c r="O2317" s="1">
        <v>46192.283043981479</v>
      </c>
    </row>
    <row r="2318" spans="1:15" x14ac:dyDescent="0.25">
      <c r="A2318">
        <v>-535245135</v>
      </c>
      <c r="B2318" t="s">
        <v>1128</v>
      </c>
      <c r="G2318">
        <v>41</v>
      </c>
      <c r="H2318" t="s">
        <v>29</v>
      </c>
      <c r="I2318">
        <v>9250</v>
      </c>
      <c r="J2318">
        <v>9262.5</v>
      </c>
      <c r="L2318" t="s">
        <v>12</v>
      </c>
      <c r="M2318" t="b">
        <v>0</v>
      </c>
      <c r="O2318" s="1">
        <v>46192.283043981479</v>
      </c>
    </row>
    <row r="2319" spans="1:15" x14ac:dyDescent="0.25">
      <c r="A2319">
        <v>-1521525986</v>
      </c>
      <c r="B2319" t="s">
        <v>1128</v>
      </c>
      <c r="G2319">
        <v>16</v>
      </c>
      <c r="H2319" t="s">
        <v>13</v>
      </c>
      <c r="I2319">
        <v>185</v>
      </c>
      <c r="J2319">
        <v>185</v>
      </c>
      <c r="L2319" t="s">
        <v>12</v>
      </c>
      <c r="M2319" t="b">
        <v>0</v>
      </c>
      <c r="O2319" s="1">
        <v>46192.283043981479</v>
      </c>
    </row>
    <row r="2320" spans="1:15" x14ac:dyDescent="0.25">
      <c r="A2320">
        <v>206567495</v>
      </c>
      <c r="B2320" t="s">
        <v>1128</v>
      </c>
      <c r="G2320">
        <v>68</v>
      </c>
      <c r="H2320" t="s">
        <v>14</v>
      </c>
      <c r="I2320">
        <v>37</v>
      </c>
      <c r="J2320">
        <v>37.1</v>
      </c>
      <c r="L2320" t="s">
        <v>12</v>
      </c>
      <c r="M2320" t="b">
        <v>0</v>
      </c>
      <c r="O2320" s="1">
        <v>46192.283043981479</v>
      </c>
    </row>
    <row r="2321" spans="1:15" x14ac:dyDescent="0.25">
      <c r="A2321">
        <v>1436507720</v>
      </c>
      <c r="B2321" t="s">
        <v>1129</v>
      </c>
      <c r="C2321" t="s">
        <v>447</v>
      </c>
      <c r="D2321" t="s">
        <v>448</v>
      </c>
      <c r="E2321" t="s">
        <v>340</v>
      </c>
      <c r="F2321">
        <v>380</v>
      </c>
      <c r="K2321" s="1">
        <v>46192.304143518515</v>
      </c>
      <c r="M2321" t="b">
        <v>0</v>
      </c>
      <c r="O2321" s="1">
        <v>46192.304143518515</v>
      </c>
    </row>
    <row r="2322" spans="1:15" x14ac:dyDescent="0.25">
      <c r="A2322">
        <v>1706574505</v>
      </c>
      <c r="B2322" t="s">
        <v>1129</v>
      </c>
      <c r="H2322" t="s">
        <v>29</v>
      </c>
      <c r="I2322">
        <v>2432</v>
      </c>
      <c r="J2322">
        <v>2433.9</v>
      </c>
      <c r="L2322" t="s">
        <v>12</v>
      </c>
      <c r="M2322" t="b">
        <v>0</v>
      </c>
      <c r="O2322" s="1">
        <v>46192.304143518515</v>
      </c>
    </row>
    <row r="2323" spans="1:15" x14ac:dyDescent="0.25">
      <c r="A2323">
        <v>-1970827850</v>
      </c>
      <c r="B2323" t="s">
        <v>1129</v>
      </c>
      <c r="G2323">
        <v>68</v>
      </c>
      <c r="H2323" t="s">
        <v>14</v>
      </c>
      <c r="I2323">
        <v>532</v>
      </c>
      <c r="J2323">
        <v>534.5</v>
      </c>
      <c r="L2323" t="s">
        <v>12</v>
      </c>
      <c r="M2323" t="b">
        <v>0</v>
      </c>
      <c r="O2323" s="1">
        <v>46192.304143518515</v>
      </c>
    </row>
    <row r="2324" spans="1:15" x14ac:dyDescent="0.25">
      <c r="A2324">
        <v>-1960646624</v>
      </c>
      <c r="B2324" t="s">
        <v>1130</v>
      </c>
      <c r="C2324" t="s">
        <v>382</v>
      </c>
      <c r="D2324" t="s">
        <v>380</v>
      </c>
      <c r="E2324" t="s">
        <v>364</v>
      </c>
      <c r="F2324">
        <v>120</v>
      </c>
      <c r="K2324" s="1">
        <v>46192.328599537039</v>
      </c>
      <c r="M2324" t="b">
        <v>0</v>
      </c>
      <c r="O2324" s="1">
        <v>46192.328599537039</v>
      </c>
    </row>
    <row r="2325" spans="1:15" x14ac:dyDescent="0.25">
      <c r="A2325">
        <v>967806369</v>
      </c>
      <c r="B2325" t="s">
        <v>1130</v>
      </c>
      <c r="H2325" t="s">
        <v>29</v>
      </c>
      <c r="I2325">
        <v>780</v>
      </c>
      <c r="J2325">
        <v>777.7</v>
      </c>
      <c r="L2325" t="s">
        <v>12</v>
      </c>
      <c r="M2325" t="b">
        <v>0</v>
      </c>
      <c r="O2325" s="1">
        <v>46192.328599537039</v>
      </c>
    </row>
    <row r="2326" spans="1:15" x14ac:dyDescent="0.25">
      <c r="A2326">
        <v>-530937010</v>
      </c>
      <c r="B2326" t="s">
        <v>1130</v>
      </c>
      <c r="G2326">
        <v>35</v>
      </c>
      <c r="H2326" t="s">
        <v>36</v>
      </c>
      <c r="I2326">
        <v>21.6</v>
      </c>
      <c r="J2326">
        <v>21.8</v>
      </c>
      <c r="L2326" t="s">
        <v>12</v>
      </c>
      <c r="M2326" t="b">
        <v>0</v>
      </c>
      <c r="O2326" s="1">
        <v>46192.328599537039</v>
      </c>
    </row>
    <row r="2327" spans="1:15" x14ac:dyDescent="0.25">
      <c r="A2327">
        <v>-1768779593</v>
      </c>
      <c r="B2327" t="s">
        <v>1130</v>
      </c>
      <c r="G2327">
        <v>16</v>
      </c>
      <c r="H2327" t="s">
        <v>13</v>
      </c>
      <c r="I2327">
        <v>36</v>
      </c>
      <c r="J2327">
        <v>35.9</v>
      </c>
      <c r="L2327" t="s">
        <v>12</v>
      </c>
      <c r="M2327" t="b">
        <v>0</v>
      </c>
      <c r="O2327" s="1">
        <v>46192.328599537039</v>
      </c>
    </row>
    <row r="2328" spans="1:15" x14ac:dyDescent="0.25">
      <c r="A2328">
        <v>-891817420</v>
      </c>
      <c r="B2328" t="s">
        <v>1131</v>
      </c>
      <c r="C2328" t="s">
        <v>1132</v>
      </c>
      <c r="D2328" t="s">
        <v>1133</v>
      </c>
      <c r="E2328" t="s">
        <v>336</v>
      </c>
      <c r="F2328">
        <v>50</v>
      </c>
      <c r="K2328" s="1">
        <v>46192.422407407408</v>
      </c>
      <c r="M2328" t="b">
        <v>0</v>
      </c>
      <c r="O2328" s="1">
        <v>46192.422407407408</v>
      </c>
    </row>
    <row r="2329" spans="1:15" x14ac:dyDescent="0.25">
      <c r="A2329">
        <v>881871653</v>
      </c>
      <c r="B2329" t="s">
        <v>1131</v>
      </c>
      <c r="H2329" t="s">
        <v>29</v>
      </c>
      <c r="I2329">
        <v>775</v>
      </c>
      <c r="J2329">
        <v>775.3</v>
      </c>
      <c r="L2329" t="s">
        <v>12</v>
      </c>
      <c r="M2329" t="b">
        <v>0</v>
      </c>
      <c r="O2329" s="1">
        <v>46192.422407407408</v>
      </c>
    </row>
    <row r="2330" spans="1:15" x14ac:dyDescent="0.25">
      <c r="A2330">
        <v>-1323273342</v>
      </c>
      <c r="B2330" t="s">
        <v>1131</v>
      </c>
      <c r="G2330">
        <v>50</v>
      </c>
      <c r="H2330" t="s">
        <v>157</v>
      </c>
      <c r="I2330">
        <v>50</v>
      </c>
      <c r="J2330">
        <v>50.5</v>
      </c>
      <c r="L2330" t="s">
        <v>12</v>
      </c>
      <c r="M2330" t="b">
        <v>0</v>
      </c>
      <c r="O2330" s="1">
        <v>46192.422407407408</v>
      </c>
    </row>
    <row r="2331" spans="1:15" x14ac:dyDescent="0.25">
      <c r="A2331">
        <v>-770949686</v>
      </c>
      <c r="B2331" t="s">
        <v>1134</v>
      </c>
      <c r="C2331" t="s">
        <v>718</v>
      </c>
      <c r="D2331" t="s">
        <v>719</v>
      </c>
      <c r="E2331" t="s">
        <v>336</v>
      </c>
      <c r="F2331">
        <v>370</v>
      </c>
      <c r="K2331" s="1">
        <v>46192.521458333336</v>
      </c>
      <c r="M2331" t="b">
        <v>0</v>
      </c>
      <c r="O2331" s="1">
        <v>46192.521458333336</v>
      </c>
    </row>
    <row r="2332" spans="1:15" x14ac:dyDescent="0.25">
      <c r="A2332">
        <v>-332769149</v>
      </c>
      <c r="B2332" t="s">
        <v>1134</v>
      </c>
      <c r="G2332">
        <v>41</v>
      </c>
      <c r="H2332" t="s">
        <v>29</v>
      </c>
      <c r="I2332">
        <v>9250</v>
      </c>
      <c r="J2332">
        <v>9253.7000000000007</v>
      </c>
      <c r="L2332" t="s">
        <v>12</v>
      </c>
      <c r="M2332" t="b">
        <v>0</v>
      </c>
      <c r="O2332" s="1">
        <v>46192.521458333336</v>
      </c>
    </row>
    <row r="2333" spans="1:15" x14ac:dyDescent="0.25">
      <c r="A2333">
        <v>1622622472</v>
      </c>
      <c r="B2333" t="s">
        <v>1134</v>
      </c>
      <c r="G2333">
        <v>16</v>
      </c>
      <c r="H2333" t="s">
        <v>13</v>
      </c>
      <c r="I2333">
        <v>185</v>
      </c>
      <c r="J2333">
        <v>183.8</v>
      </c>
      <c r="L2333" t="s">
        <v>12</v>
      </c>
      <c r="M2333" t="b">
        <v>0</v>
      </c>
      <c r="O2333" s="1">
        <v>46192.521458333336</v>
      </c>
    </row>
    <row r="2334" spans="1:15" x14ac:dyDescent="0.25">
      <c r="A2334">
        <v>-1096573335</v>
      </c>
      <c r="B2334" t="s">
        <v>1134</v>
      </c>
      <c r="G2334">
        <v>68</v>
      </c>
      <c r="H2334" t="s">
        <v>14</v>
      </c>
      <c r="I2334">
        <v>37</v>
      </c>
      <c r="J2334">
        <v>37.200000000000003</v>
      </c>
      <c r="L2334" t="s">
        <v>12</v>
      </c>
      <c r="M2334" t="b">
        <v>0</v>
      </c>
      <c r="O2334" s="1">
        <v>46192.521458333336</v>
      </c>
    </row>
    <row r="2335" spans="1:15" x14ac:dyDescent="0.25">
      <c r="A2335">
        <v>2008860782</v>
      </c>
      <c r="B2335" t="s">
        <v>1135</v>
      </c>
      <c r="C2335" t="s">
        <v>790</v>
      </c>
      <c r="D2335" t="s">
        <v>386</v>
      </c>
      <c r="E2335" t="s">
        <v>1136</v>
      </c>
      <c r="F2335">
        <v>50</v>
      </c>
      <c r="K2335" s="1">
        <v>46192.632534722223</v>
      </c>
      <c r="M2335" t="b">
        <v>0</v>
      </c>
      <c r="O2335" s="1">
        <v>46192.632534722223</v>
      </c>
    </row>
    <row r="2336" spans="1:15" x14ac:dyDescent="0.25">
      <c r="A2336">
        <v>499257175</v>
      </c>
      <c r="B2336" t="s">
        <v>1135</v>
      </c>
      <c r="G2336">
        <v>41</v>
      </c>
      <c r="H2336" t="s">
        <v>29</v>
      </c>
      <c r="I2336">
        <v>800</v>
      </c>
      <c r="J2336">
        <v>805.7</v>
      </c>
      <c r="L2336" t="s">
        <v>12</v>
      </c>
      <c r="M2336" t="b">
        <v>0</v>
      </c>
      <c r="O2336" s="1">
        <v>46192.632534722223</v>
      </c>
    </row>
    <row r="2337" spans="1:15" x14ac:dyDescent="0.25">
      <c r="A2337">
        <v>-140190644</v>
      </c>
      <c r="B2337" t="s">
        <v>1135</v>
      </c>
      <c r="G2337">
        <v>49</v>
      </c>
      <c r="H2337" t="s">
        <v>181</v>
      </c>
      <c r="I2337">
        <v>26</v>
      </c>
      <c r="J2337">
        <v>26.5</v>
      </c>
      <c r="L2337" t="s">
        <v>15</v>
      </c>
      <c r="M2337" t="b">
        <v>0</v>
      </c>
      <c r="O2337" s="1">
        <v>46192.632534722223</v>
      </c>
    </row>
    <row r="2338" spans="1:15" x14ac:dyDescent="0.25">
      <c r="A2338">
        <v>1021772125</v>
      </c>
      <c r="B2338" t="s">
        <v>1135</v>
      </c>
      <c r="G2338">
        <v>68</v>
      </c>
      <c r="H2338" t="s">
        <v>14</v>
      </c>
      <c r="I2338">
        <v>8</v>
      </c>
      <c r="J2338">
        <v>8</v>
      </c>
      <c r="L2338" t="s">
        <v>12</v>
      </c>
      <c r="M2338" t="b">
        <v>0</v>
      </c>
      <c r="O2338" s="1">
        <v>46192.632534722223</v>
      </c>
    </row>
    <row r="2339" spans="1:15" x14ac:dyDescent="0.25">
      <c r="A2339">
        <v>-2045457574</v>
      </c>
      <c r="B2339" t="s">
        <v>1135</v>
      </c>
      <c r="G2339">
        <v>16</v>
      </c>
      <c r="H2339" t="s">
        <v>13</v>
      </c>
      <c r="I2339">
        <v>4</v>
      </c>
      <c r="J2339">
        <v>6.2</v>
      </c>
      <c r="L2339" t="s">
        <v>15</v>
      </c>
      <c r="M2339" t="b">
        <v>0</v>
      </c>
      <c r="O2339" s="1">
        <v>46192.632534722223</v>
      </c>
    </row>
    <row r="2340" spans="1:15" x14ac:dyDescent="0.25">
      <c r="A2340">
        <v>-946449587</v>
      </c>
      <c r="B2340" t="s">
        <v>1137</v>
      </c>
      <c r="C2340" t="s">
        <v>593</v>
      </c>
      <c r="D2340" t="s">
        <v>594</v>
      </c>
      <c r="E2340" t="s">
        <v>313</v>
      </c>
      <c r="F2340">
        <v>250</v>
      </c>
      <c r="K2340" s="1">
        <v>46192.728009259263</v>
      </c>
      <c r="M2340" t="b">
        <v>0</v>
      </c>
      <c r="O2340" s="1">
        <v>46192.728009259263</v>
      </c>
    </row>
    <row r="2341" spans="1:15" x14ac:dyDescent="0.25">
      <c r="A2341">
        <v>914608778</v>
      </c>
      <c r="B2341" t="s">
        <v>1137</v>
      </c>
      <c r="G2341">
        <v>41</v>
      </c>
      <c r="H2341" t="s">
        <v>29</v>
      </c>
      <c r="I2341">
        <v>5000</v>
      </c>
      <c r="J2341">
        <v>5031.1000000000004</v>
      </c>
      <c r="L2341" t="s">
        <v>12</v>
      </c>
      <c r="M2341" t="b">
        <v>0</v>
      </c>
      <c r="O2341" s="1">
        <v>46192.728009259263</v>
      </c>
    </row>
    <row r="2342" spans="1:15" x14ac:dyDescent="0.25">
      <c r="A2342">
        <v>1960050243</v>
      </c>
      <c r="B2342" t="s">
        <v>1137</v>
      </c>
      <c r="G2342">
        <v>58</v>
      </c>
      <c r="H2342" t="s">
        <v>32</v>
      </c>
      <c r="I2342">
        <v>2000</v>
      </c>
      <c r="J2342">
        <v>2008.7</v>
      </c>
      <c r="L2342" t="s">
        <v>12</v>
      </c>
      <c r="M2342" t="b">
        <v>0</v>
      </c>
      <c r="O2342" s="1">
        <v>46192.728009259263</v>
      </c>
    </row>
    <row r="2343" spans="1:15" x14ac:dyDescent="0.25">
      <c r="A2343">
        <v>-2123111480</v>
      </c>
      <c r="B2343" t="s">
        <v>1137</v>
      </c>
      <c r="G2343">
        <v>35</v>
      </c>
      <c r="H2343" t="s">
        <v>36</v>
      </c>
      <c r="I2343">
        <v>400</v>
      </c>
      <c r="J2343">
        <v>403.1</v>
      </c>
      <c r="L2343" t="s">
        <v>12</v>
      </c>
      <c r="M2343" t="b">
        <v>0</v>
      </c>
      <c r="O2343" s="1">
        <v>46192.728009259263</v>
      </c>
    </row>
    <row r="2344" spans="1:15" x14ac:dyDescent="0.25">
      <c r="A2344">
        <v>891495180</v>
      </c>
      <c r="B2344" t="s">
        <v>1138</v>
      </c>
      <c r="C2344" t="s">
        <v>382</v>
      </c>
      <c r="D2344" t="s">
        <v>771</v>
      </c>
      <c r="E2344" t="s">
        <v>364</v>
      </c>
      <c r="F2344">
        <v>380</v>
      </c>
      <c r="K2344" s="1">
        <v>46192.996307870373</v>
      </c>
      <c r="M2344" t="b">
        <v>0</v>
      </c>
      <c r="O2344" s="1">
        <v>46192.996307870373</v>
      </c>
    </row>
    <row r="2345" spans="1:15" x14ac:dyDescent="0.25">
      <c r="A2345">
        <v>1873408285</v>
      </c>
      <c r="B2345" t="s">
        <v>1138</v>
      </c>
      <c r="G2345">
        <v>41</v>
      </c>
      <c r="H2345" t="s">
        <v>29</v>
      </c>
      <c r="I2345">
        <v>5510</v>
      </c>
      <c r="J2345">
        <v>5512.3</v>
      </c>
      <c r="L2345" t="s">
        <v>12</v>
      </c>
      <c r="M2345" t="b">
        <v>0</v>
      </c>
      <c r="O2345" s="1">
        <v>46192.996307870373</v>
      </c>
    </row>
    <row r="2346" spans="1:15" x14ac:dyDescent="0.25">
      <c r="A2346">
        <v>-977309670</v>
      </c>
      <c r="B2346" t="s">
        <v>1138</v>
      </c>
      <c r="G2346">
        <v>35</v>
      </c>
      <c r="H2346" t="s">
        <v>36</v>
      </c>
      <c r="I2346">
        <v>313.12</v>
      </c>
      <c r="J2346">
        <v>312.39999999999998</v>
      </c>
      <c r="L2346" t="s">
        <v>12</v>
      </c>
      <c r="M2346" t="b">
        <v>0</v>
      </c>
      <c r="O2346" s="1">
        <v>46192.996307870373</v>
      </c>
    </row>
    <row r="2347" spans="1:15" x14ac:dyDescent="0.25">
      <c r="A2347">
        <v>-975302509</v>
      </c>
      <c r="B2347" t="s">
        <v>1138</v>
      </c>
      <c r="G2347">
        <v>4</v>
      </c>
      <c r="H2347" t="s">
        <v>27</v>
      </c>
      <c r="I2347">
        <v>228</v>
      </c>
      <c r="J2347">
        <v>228.4</v>
      </c>
      <c r="L2347" t="s">
        <v>12</v>
      </c>
      <c r="M2347" t="b">
        <v>0</v>
      </c>
      <c r="O2347" s="1">
        <v>46192.996307870373</v>
      </c>
    </row>
    <row r="2348" spans="1:15" x14ac:dyDescent="0.25">
      <c r="A2348">
        <v>-793969704</v>
      </c>
      <c r="B2348" t="s">
        <v>1139</v>
      </c>
      <c r="C2348" t="s">
        <v>345</v>
      </c>
      <c r="D2348" t="s">
        <v>537</v>
      </c>
      <c r="E2348" t="s">
        <v>336</v>
      </c>
      <c r="F2348">
        <v>50</v>
      </c>
      <c r="K2348" s="1">
        <v>46193.005613425928</v>
      </c>
      <c r="M2348" t="b">
        <v>0</v>
      </c>
      <c r="O2348" s="1">
        <v>46193.005613425928</v>
      </c>
    </row>
    <row r="2349" spans="1:15" x14ac:dyDescent="0.25">
      <c r="A2349">
        <v>-693349127</v>
      </c>
      <c r="B2349" t="s">
        <v>1139</v>
      </c>
      <c r="G2349">
        <v>41</v>
      </c>
      <c r="H2349" t="s">
        <v>29</v>
      </c>
      <c r="I2349">
        <v>735</v>
      </c>
      <c r="J2349">
        <v>735.5</v>
      </c>
      <c r="L2349" t="s">
        <v>12</v>
      </c>
      <c r="M2349" t="b">
        <v>0</v>
      </c>
      <c r="O2349" s="1">
        <v>46193.005613425928</v>
      </c>
    </row>
    <row r="2350" spans="1:15" x14ac:dyDescent="0.25">
      <c r="A2350">
        <v>-1310546490</v>
      </c>
      <c r="B2350" t="s">
        <v>1139</v>
      </c>
      <c r="G2350">
        <v>44</v>
      </c>
      <c r="H2350" t="s">
        <v>16</v>
      </c>
      <c r="I2350">
        <v>52</v>
      </c>
      <c r="J2350">
        <v>52.2</v>
      </c>
      <c r="L2350" t="s">
        <v>12</v>
      </c>
      <c r="M2350" t="b">
        <v>0</v>
      </c>
      <c r="O2350" s="1">
        <v>46193.005613425928</v>
      </c>
    </row>
    <row r="2351" spans="1:15" x14ac:dyDescent="0.25">
      <c r="A2351">
        <v>-112785457</v>
      </c>
      <c r="B2351" t="s">
        <v>1139</v>
      </c>
      <c r="G2351">
        <v>4</v>
      </c>
      <c r="H2351" t="s">
        <v>27</v>
      </c>
      <c r="I2351">
        <v>240</v>
      </c>
      <c r="J2351">
        <v>240</v>
      </c>
      <c r="L2351" t="s">
        <v>12</v>
      </c>
      <c r="M2351" t="b">
        <v>0</v>
      </c>
      <c r="O2351" s="1">
        <v>46193.005613425928</v>
      </c>
    </row>
    <row r="2352" spans="1:15" x14ac:dyDescent="0.25">
      <c r="A2352">
        <v>1318405768</v>
      </c>
      <c r="B2352" t="s">
        <v>1140</v>
      </c>
      <c r="C2352" t="s">
        <v>345</v>
      </c>
      <c r="D2352" t="s">
        <v>1141</v>
      </c>
      <c r="E2352" t="s">
        <v>336</v>
      </c>
      <c r="F2352">
        <v>50</v>
      </c>
      <c r="K2352" s="1">
        <v>46193.023333333331</v>
      </c>
      <c r="M2352" t="b">
        <v>0</v>
      </c>
      <c r="O2352" s="1">
        <v>46193.023333333331</v>
      </c>
    </row>
    <row r="2353" spans="1:15" x14ac:dyDescent="0.25">
      <c r="A2353">
        <v>-409233943</v>
      </c>
      <c r="B2353" t="s">
        <v>1140</v>
      </c>
      <c r="G2353">
        <v>41</v>
      </c>
      <c r="H2353" t="s">
        <v>29</v>
      </c>
      <c r="I2353">
        <v>365</v>
      </c>
      <c r="J2353">
        <v>367.7</v>
      </c>
      <c r="L2353" t="s">
        <v>12</v>
      </c>
      <c r="M2353" t="b">
        <v>0</v>
      </c>
      <c r="O2353" s="1">
        <v>46193.023333333331</v>
      </c>
    </row>
    <row r="2354" spans="1:15" x14ac:dyDescent="0.25">
      <c r="A2354">
        <v>742961142</v>
      </c>
      <c r="B2354" t="s">
        <v>1140</v>
      </c>
      <c r="G2354">
        <v>40</v>
      </c>
      <c r="H2354" t="s">
        <v>127</v>
      </c>
      <c r="I2354">
        <v>77.5</v>
      </c>
      <c r="J2354">
        <v>77.400000000000006</v>
      </c>
      <c r="L2354" t="s">
        <v>12</v>
      </c>
      <c r="M2354" t="b">
        <v>0</v>
      </c>
      <c r="O2354" s="1">
        <v>46193.023333333331</v>
      </c>
    </row>
    <row r="2355" spans="1:15" x14ac:dyDescent="0.25">
      <c r="A2355">
        <v>-966921665</v>
      </c>
      <c r="B2355" t="s">
        <v>1140</v>
      </c>
      <c r="G2355">
        <v>83</v>
      </c>
      <c r="H2355" t="s">
        <v>130</v>
      </c>
      <c r="I2355">
        <v>250</v>
      </c>
      <c r="J2355">
        <v>252.7</v>
      </c>
      <c r="L2355" t="s">
        <v>15</v>
      </c>
      <c r="M2355" t="b">
        <v>0</v>
      </c>
      <c r="O2355" s="1">
        <v>46193.023333333331</v>
      </c>
    </row>
    <row r="2356" spans="1:15" x14ac:dyDescent="0.25">
      <c r="A2356">
        <v>-622317804</v>
      </c>
      <c r="B2356" t="s">
        <v>1140</v>
      </c>
      <c r="G2356">
        <v>69</v>
      </c>
      <c r="H2356" t="s">
        <v>174</v>
      </c>
      <c r="I2356">
        <v>13</v>
      </c>
      <c r="J2356">
        <v>13.3</v>
      </c>
      <c r="L2356" t="s">
        <v>15</v>
      </c>
      <c r="M2356" t="b">
        <v>0</v>
      </c>
      <c r="O2356" s="1">
        <v>46193.023333333331</v>
      </c>
    </row>
    <row r="2357" spans="1:15" x14ac:dyDescent="0.25">
      <c r="A2357">
        <v>1721767452</v>
      </c>
      <c r="B2357" t="s">
        <v>1142</v>
      </c>
      <c r="C2357" t="s">
        <v>379</v>
      </c>
      <c r="D2357" t="s">
        <v>428</v>
      </c>
      <c r="E2357" t="s">
        <v>313</v>
      </c>
      <c r="F2357">
        <v>50</v>
      </c>
      <c r="K2357" s="1">
        <v>46193.125208333331</v>
      </c>
      <c r="M2357" t="b">
        <v>0</v>
      </c>
      <c r="O2357" s="1">
        <v>46193.125208333331</v>
      </c>
    </row>
    <row r="2358" spans="1:15" x14ac:dyDescent="0.25">
      <c r="A2358">
        <v>-654243091</v>
      </c>
      <c r="B2358" t="s">
        <v>1142</v>
      </c>
      <c r="G2358">
        <v>41</v>
      </c>
      <c r="H2358" t="s">
        <v>29</v>
      </c>
      <c r="I2358">
        <v>250</v>
      </c>
      <c r="J2358">
        <v>251.3</v>
      </c>
      <c r="L2358" t="s">
        <v>12</v>
      </c>
      <c r="M2358" t="b">
        <v>0</v>
      </c>
      <c r="O2358" s="1">
        <v>46193.125208333331</v>
      </c>
    </row>
    <row r="2359" spans="1:15" x14ac:dyDescent="0.25">
      <c r="A2359">
        <v>-281028182</v>
      </c>
      <c r="B2359" t="s">
        <v>1143</v>
      </c>
      <c r="C2359" t="s">
        <v>424</v>
      </c>
      <c r="D2359" t="s">
        <v>685</v>
      </c>
      <c r="E2359" t="s">
        <v>340</v>
      </c>
      <c r="F2359">
        <v>250</v>
      </c>
      <c r="K2359" s="1">
        <v>46193.138171296298</v>
      </c>
      <c r="M2359" t="b">
        <v>0</v>
      </c>
      <c r="O2359" s="1">
        <v>46193.138171296298</v>
      </c>
    </row>
    <row r="2360" spans="1:15" x14ac:dyDescent="0.25">
      <c r="A2360">
        <v>71827171</v>
      </c>
      <c r="B2360" t="s">
        <v>1143</v>
      </c>
      <c r="H2360" t="s">
        <v>29</v>
      </c>
      <c r="I2360">
        <v>3625</v>
      </c>
      <c r="J2360">
        <v>3628.7</v>
      </c>
      <c r="L2360" t="s">
        <v>12</v>
      </c>
      <c r="M2360" t="b">
        <v>0</v>
      </c>
      <c r="O2360" s="1">
        <v>46193.138171296298</v>
      </c>
    </row>
    <row r="2361" spans="1:15" x14ac:dyDescent="0.25">
      <c r="A2361">
        <v>-110641176</v>
      </c>
      <c r="B2361" t="s">
        <v>1143</v>
      </c>
      <c r="G2361">
        <v>66</v>
      </c>
      <c r="H2361" t="s">
        <v>200</v>
      </c>
      <c r="I2361">
        <v>750</v>
      </c>
      <c r="J2361">
        <v>751</v>
      </c>
      <c r="L2361" t="s">
        <v>12</v>
      </c>
      <c r="M2361" t="b">
        <v>0</v>
      </c>
      <c r="O2361" s="1">
        <v>46193.138171296298</v>
      </c>
    </row>
    <row r="2362" spans="1:15" x14ac:dyDescent="0.25">
      <c r="A2362">
        <v>2141662153</v>
      </c>
      <c r="B2362" t="s">
        <v>1143</v>
      </c>
      <c r="G2362">
        <v>16</v>
      </c>
      <c r="H2362" t="s">
        <v>13</v>
      </c>
      <c r="I2362">
        <v>325</v>
      </c>
      <c r="J2362">
        <v>325</v>
      </c>
      <c r="L2362" t="s">
        <v>12</v>
      </c>
      <c r="M2362" t="b">
        <v>0</v>
      </c>
      <c r="O2362" s="1">
        <v>46193.138171296298</v>
      </c>
    </row>
    <row r="2363" spans="1:15" x14ac:dyDescent="0.25">
      <c r="A2363">
        <v>2080429274</v>
      </c>
      <c r="B2363" t="s">
        <v>1144</v>
      </c>
      <c r="C2363" t="s">
        <v>737</v>
      </c>
      <c r="D2363" t="s">
        <v>428</v>
      </c>
      <c r="E2363" t="s">
        <v>340</v>
      </c>
      <c r="F2363">
        <v>250</v>
      </c>
      <c r="K2363" s="1">
        <v>46193.163310185184</v>
      </c>
      <c r="M2363" t="b">
        <v>0</v>
      </c>
      <c r="O2363" s="1">
        <v>46193.163310185184</v>
      </c>
    </row>
    <row r="2364" spans="1:15" x14ac:dyDescent="0.25">
      <c r="A2364">
        <v>-2013613</v>
      </c>
      <c r="B2364" t="s">
        <v>1144</v>
      </c>
      <c r="H2364" t="s">
        <v>29</v>
      </c>
      <c r="I2364">
        <v>1580</v>
      </c>
      <c r="J2364">
        <v>1581.4</v>
      </c>
      <c r="L2364" t="s">
        <v>12</v>
      </c>
      <c r="M2364" t="b">
        <v>0</v>
      </c>
      <c r="O2364" s="1">
        <v>46193.163310185184</v>
      </c>
    </row>
    <row r="2365" spans="1:15" x14ac:dyDescent="0.25">
      <c r="A2365">
        <v>-1786253672</v>
      </c>
      <c r="B2365" t="s">
        <v>1144</v>
      </c>
      <c r="G2365">
        <v>44</v>
      </c>
      <c r="H2365" t="s">
        <v>16</v>
      </c>
      <c r="I2365">
        <v>67.5</v>
      </c>
      <c r="J2365">
        <v>68</v>
      </c>
      <c r="L2365" t="s">
        <v>12</v>
      </c>
      <c r="M2365" t="b">
        <v>0</v>
      </c>
      <c r="O2365" s="1">
        <v>46193.163310185184</v>
      </c>
    </row>
    <row r="2366" spans="1:15" x14ac:dyDescent="0.25">
      <c r="A2366">
        <v>390168761</v>
      </c>
      <c r="B2366" t="s">
        <v>1144</v>
      </c>
      <c r="G2366">
        <v>35</v>
      </c>
      <c r="H2366" t="s">
        <v>36</v>
      </c>
      <c r="I2366">
        <v>112.5</v>
      </c>
      <c r="J2366">
        <v>112.4</v>
      </c>
      <c r="L2366" t="s">
        <v>12</v>
      </c>
      <c r="M2366" t="b">
        <v>0</v>
      </c>
      <c r="O2366" s="1">
        <v>46193.163310185184</v>
      </c>
    </row>
    <row r="2367" spans="1:15" x14ac:dyDescent="0.25">
      <c r="A2367">
        <v>1097455238</v>
      </c>
      <c r="B2367" t="s">
        <v>1145</v>
      </c>
      <c r="C2367" t="s">
        <v>345</v>
      </c>
      <c r="D2367" t="s">
        <v>537</v>
      </c>
      <c r="E2367" t="s">
        <v>336</v>
      </c>
      <c r="F2367">
        <v>50</v>
      </c>
      <c r="K2367" s="1">
        <v>46193.176087962966</v>
      </c>
      <c r="M2367" t="b">
        <v>0</v>
      </c>
      <c r="O2367" s="1">
        <v>46193.176087962966</v>
      </c>
    </row>
    <row r="2368" spans="1:15" x14ac:dyDescent="0.25">
      <c r="A2368">
        <v>433527183</v>
      </c>
      <c r="B2368" t="s">
        <v>1145</v>
      </c>
      <c r="G2368">
        <v>41</v>
      </c>
      <c r="H2368" t="s">
        <v>29</v>
      </c>
      <c r="I2368">
        <v>735</v>
      </c>
      <c r="J2368">
        <v>736</v>
      </c>
      <c r="L2368" t="s">
        <v>12</v>
      </c>
      <c r="M2368" t="b">
        <v>0</v>
      </c>
      <c r="O2368" s="1">
        <v>46193.176087962966</v>
      </c>
    </row>
    <row r="2369" spans="1:15" x14ac:dyDescent="0.25">
      <c r="A2369">
        <v>-1534724060</v>
      </c>
      <c r="B2369" t="s">
        <v>1145</v>
      </c>
      <c r="G2369">
        <v>44</v>
      </c>
      <c r="H2369" t="s">
        <v>16</v>
      </c>
      <c r="I2369">
        <v>52</v>
      </c>
      <c r="J2369">
        <v>52.1</v>
      </c>
      <c r="L2369" t="s">
        <v>12</v>
      </c>
      <c r="M2369" t="b">
        <v>0</v>
      </c>
      <c r="O2369" s="1">
        <v>46193.176087962966</v>
      </c>
    </row>
    <row r="2370" spans="1:15" x14ac:dyDescent="0.25">
      <c r="A2370">
        <v>-1652754859</v>
      </c>
      <c r="B2370" t="s">
        <v>1145</v>
      </c>
      <c r="G2370">
        <v>4</v>
      </c>
      <c r="H2370" t="s">
        <v>27</v>
      </c>
      <c r="I2370">
        <v>240</v>
      </c>
      <c r="J2370">
        <v>241</v>
      </c>
      <c r="L2370" t="s">
        <v>12</v>
      </c>
      <c r="M2370" t="b">
        <v>0</v>
      </c>
      <c r="O2370" s="1">
        <v>46193.176087962966</v>
      </c>
    </row>
    <row r="2371" spans="1:15" x14ac:dyDescent="0.25">
      <c r="A2371">
        <v>-1601721614</v>
      </c>
      <c r="B2371" t="s">
        <v>1146</v>
      </c>
      <c r="C2371" t="s">
        <v>593</v>
      </c>
      <c r="D2371" t="s">
        <v>594</v>
      </c>
      <c r="E2371" t="s">
        <v>313</v>
      </c>
      <c r="F2371">
        <v>250</v>
      </c>
      <c r="K2371" s="1">
        <v>46193.179629629631</v>
      </c>
      <c r="M2371" t="b">
        <v>0</v>
      </c>
      <c r="O2371" s="1">
        <v>46193.179629629631</v>
      </c>
    </row>
    <row r="2372" spans="1:15" x14ac:dyDescent="0.25">
      <c r="A2372">
        <v>-1645315957</v>
      </c>
      <c r="B2372" t="s">
        <v>1146</v>
      </c>
      <c r="H2372" t="s">
        <v>29</v>
      </c>
      <c r="I2372">
        <v>5000</v>
      </c>
      <c r="J2372">
        <v>5010.3999999999996</v>
      </c>
      <c r="L2372" t="s">
        <v>12</v>
      </c>
      <c r="M2372" t="b">
        <v>0</v>
      </c>
      <c r="O2372" s="1">
        <v>46193.179629629631</v>
      </c>
    </row>
    <row r="2373" spans="1:15" x14ac:dyDescent="0.25">
      <c r="A2373">
        <v>-1359474064</v>
      </c>
      <c r="B2373" t="s">
        <v>1146</v>
      </c>
      <c r="G2373">
        <v>58</v>
      </c>
      <c r="H2373" t="s">
        <v>32</v>
      </c>
      <c r="I2373">
        <v>2175</v>
      </c>
      <c r="J2373">
        <v>2177</v>
      </c>
      <c r="L2373" t="s">
        <v>12</v>
      </c>
      <c r="M2373" t="b">
        <v>0</v>
      </c>
      <c r="O2373" s="1">
        <v>46193.179629629631</v>
      </c>
    </row>
    <row r="2374" spans="1:15" x14ac:dyDescent="0.25">
      <c r="A2374">
        <v>237755825</v>
      </c>
      <c r="B2374" t="s">
        <v>1146</v>
      </c>
      <c r="G2374">
        <v>35</v>
      </c>
      <c r="H2374" t="s">
        <v>36</v>
      </c>
      <c r="I2374">
        <v>437.5</v>
      </c>
      <c r="J2374">
        <v>436.3</v>
      </c>
      <c r="L2374" t="s">
        <v>12</v>
      </c>
      <c r="M2374" t="b">
        <v>0</v>
      </c>
      <c r="O2374" s="1">
        <v>46193.179629629631</v>
      </c>
    </row>
    <row r="2375" spans="1:15" x14ac:dyDescent="0.25">
      <c r="A2375">
        <v>-294456321</v>
      </c>
      <c r="B2375" t="s">
        <v>1147</v>
      </c>
      <c r="C2375" t="s">
        <v>737</v>
      </c>
      <c r="D2375" t="s">
        <v>428</v>
      </c>
      <c r="E2375" t="s">
        <v>340</v>
      </c>
      <c r="F2375">
        <v>250</v>
      </c>
      <c r="K2375" s="1">
        <v>46193.235138888886</v>
      </c>
      <c r="M2375" t="b">
        <v>0</v>
      </c>
      <c r="O2375" s="1">
        <v>46193.235138888886</v>
      </c>
    </row>
    <row r="2376" spans="1:15" x14ac:dyDescent="0.25">
      <c r="A2376">
        <v>1982594516</v>
      </c>
      <c r="B2376" t="s">
        <v>1147</v>
      </c>
      <c r="H2376" t="s">
        <v>29</v>
      </c>
      <c r="I2376">
        <v>2000</v>
      </c>
      <c r="J2376">
        <v>1999.5</v>
      </c>
      <c r="L2376" t="s">
        <v>12</v>
      </c>
      <c r="M2376" t="b">
        <v>0</v>
      </c>
      <c r="O2376" s="1">
        <v>46193.235138888886</v>
      </c>
    </row>
    <row r="2377" spans="1:15" x14ac:dyDescent="0.25">
      <c r="A2377">
        <v>-1664608699</v>
      </c>
      <c r="B2377" t="s">
        <v>1147</v>
      </c>
      <c r="G2377">
        <v>44</v>
      </c>
      <c r="H2377" t="s">
        <v>16</v>
      </c>
      <c r="I2377">
        <v>85</v>
      </c>
      <c r="J2377">
        <v>85.5</v>
      </c>
      <c r="L2377" t="s">
        <v>12</v>
      </c>
      <c r="M2377" t="b">
        <v>0</v>
      </c>
      <c r="O2377" s="1">
        <v>46193.235138888886</v>
      </c>
    </row>
    <row r="2378" spans="1:15" x14ac:dyDescent="0.25">
      <c r="A2378">
        <v>1265494050</v>
      </c>
      <c r="B2378" t="s">
        <v>1147</v>
      </c>
      <c r="G2378">
        <v>35</v>
      </c>
      <c r="H2378" t="s">
        <v>36</v>
      </c>
      <c r="I2378">
        <v>130</v>
      </c>
      <c r="J2378">
        <v>131.30000000000001</v>
      </c>
      <c r="L2378" t="s">
        <v>12</v>
      </c>
      <c r="M2378" t="b">
        <v>0</v>
      </c>
      <c r="O2378" s="1">
        <v>46193.235138888886</v>
      </c>
    </row>
    <row r="2379" spans="1:15" x14ac:dyDescent="0.25">
      <c r="A2379">
        <v>-547333637</v>
      </c>
      <c r="B2379" t="s">
        <v>1148</v>
      </c>
      <c r="C2379" t="s">
        <v>1097</v>
      </c>
      <c r="D2379" t="s">
        <v>1098</v>
      </c>
      <c r="E2379" t="s">
        <v>313</v>
      </c>
      <c r="F2379">
        <v>50</v>
      </c>
      <c r="K2379" s="1">
        <v>46193.242314814815</v>
      </c>
      <c r="M2379" t="b">
        <v>0</v>
      </c>
      <c r="O2379" s="1">
        <v>46193.242314814815</v>
      </c>
    </row>
    <row r="2380" spans="1:15" x14ac:dyDescent="0.25">
      <c r="A2380">
        <v>-1400417504</v>
      </c>
      <c r="B2380" t="s">
        <v>1148</v>
      </c>
      <c r="H2380" t="s">
        <v>29</v>
      </c>
      <c r="I2380">
        <v>475</v>
      </c>
      <c r="J2380">
        <v>476.4</v>
      </c>
      <c r="L2380" t="s">
        <v>12</v>
      </c>
      <c r="M2380" t="b">
        <v>0</v>
      </c>
      <c r="O2380" s="1">
        <v>46193.242314814815</v>
      </c>
    </row>
    <row r="2381" spans="1:15" x14ac:dyDescent="0.25">
      <c r="A2381">
        <v>276323489</v>
      </c>
      <c r="B2381" t="s">
        <v>1148</v>
      </c>
      <c r="G2381">
        <v>16</v>
      </c>
      <c r="H2381" t="s">
        <v>13</v>
      </c>
      <c r="I2381">
        <v>110</v>
      </c>
      <c r="J2381">
        <v>111.7</v>
      </c>
      <c r="L2381" t="s">
        <v>15</v>
      </c>
      <c r="M2381" t="b">
        <v>0</v>
      </c>
      <c r="O2381" s="1">
        <v>46193.242314814815</v>
      </c>
    </row>
    <row r="2382" spans="1:15" x14ac:dyDescent="0.25">
      <c r="A2382">
        <v>-878645682</v>
      </c>
      <c r="B2382" t="s">
        <v>1148</v>
      </c>
      <c r="G2382">
        <v>68</v>
      </c>
      <c r="H2382" t="s">
        <v>14</v>
      </c>
      <c r="I2382">
        <v>22.5</v>
      </c>
      <c r="J2382">
        <v>22.9</v>
      </c>
      <c r="L2382" t="s">
        <v>15</v>
      </c>
      <c r="M2382" t="b">
        <v>0</v>
      </c>
      <c r="O2382" s="1">
        <v>46193.242314814815</v>
      </c>
    </row>
    <row r="2383" spans="1:15" x14ac:dyDescent="0.25">
      <c r="A2383">
        <v>-287049801</v>
      </c>
      <c r="B2383" t="s">
        <v>1149</v>
      </c>
      <c r="C2383" t="s">
        <v>593</v>
      </c>
      <c r="D2383" t="s">
        <v>1150</v>
      </c>
      <c r="E2383" t="s">
        <v>336</v>
      </c>
      <c r="F2383">
        <v>50</v>
      </c>
      <c r="K2383" s="1">
        <v>46193.265324074076</v>
      </c>
      <c r="M2383" t="b">
        <v>0</v>
      </c>
      <c r="O2383" s="1">
        <v>46193.265324074076</v>
      </c>
    </row>
    <row r="2384" spans="1:15" x14ac:dyDescent="0.25">
      <c r="A2384">
        <v>1767961900</v>
      </c>
      <c r="B2384" t="s">
        <v>1149</v>
      </c>
      <c r="H2384" t="s">
        <v>29</v>
      </c>
      <c r="I2384">
        <v>720</v>
      </c>
      <c r="J2384">
        <v>722.1</v>
      </c>
      <c r="L2384" t="s">
        <v>12</v>
      </c>
      <c r="M2384" t="b">
        <v>0</v>
      </c>
      <c r="O2384" s="1">
        <v>46193.265324074076</v>
      </c>
    </row>
    <row r="2385" spans="1:15" x14ac:dyDescent="0.25">
      <c r="A2385">
        <v>290496701</v>
      </c>
      <c r="B2385" t="s">
        <v>1149</v>
      </c>
      <c r="G2385">
        <v>35</v>
      </c>
      <c r="H2385" t="s">
        <v>36</v>
      </c>
      <c r="I2385">
        <v>40</v>
      </c>
      <c r="J2385">
        <v>41.8</v>
      </c>
      <c r="L2385" t="s">
        <v>15</v>
      </c>
      <c r="M2385" t="b">
        <v>0</v>
      </c>
      <c r="O2385" s="1">
        <v>46193.265324074076</v>
      </c>
    </row>
    <row r="2386" spans="1:15" x14ac:dyDescent="0.25">
      <c r="A2386">
        <v>1741177512</v>
      </c>
      <c r="B2386" t="s">
        <v>1151</v>
      </c>
      <c r="C2386" t="s">
        <v>1152</v>
      </c>
      <c r="D2386" t="s">
        <v>225</v>
      </c>
      <c r="E2386" t="s">
        <v>340</v>
      </c>
      <c r="F2386">
        <v>250</v>
      </c>
      <c r="K2386" s="1">
        <v>46193.335266203707</v>
      </c>
      <c r="M2386" t="b">
        <v>0</v>
      </c>
      <c r="O2386" s="1">
        <v>46193.335266203707</v>
      </c>
    </row>
    <row r="2387" spans="1:15" x14ac:dyDescent="0.25">
      <c r="A2387">
        <v>-1944672375</v>
      </c>
      <c r="B2387" t="s">
        <v>1151</v>
      </c>
      <c r="H2387" t="s">
        <v>29</v>
      </c>
      <c r="I2387">
        <v>4750</v>
      </c>
      <c r="J2387">
        <v>4755.8</v>
      </c>
      <c r="L2387" t="s">
        <v>12</v>
      </c>
      <c r="M2387" t="b">
        <v>0</v>
      </c>
      <c r="O2387" s="1">
        <v>46193.335266203707</v>
      </c>
    </row>
    <row r="2388" spans="1:15" x14ac:dyDescent="0.25">
      <c r="A2388">
        <v>-272594666</v>
      </c>
      <c r="B2388" t="s">
        <v>1151</v>
      </c>
      <c r="G2388">
        <v>35</v>
      </c>
      <c r="H2388" t="s">
        <v>36</v>
      </c>
      <c r="I2388">
        <v>532.5</v>
      </c>
      <c r="J2388">
        <v>532.1</v>
      </c>
      <c r="L2388" t="s">
        <v>12</v>
      </c>
      <c r="M2388" t="b">
        <v>0</v>
      </c>
      <c r="O2388" s="1">
        <v>46193.335266203707</v>
      </c>
    </row>
    <row r="2389" spans="1:15" x14ac:dyDescent="0.25">
      <c r="A2389">
        <v>2004999391</v>
      </c>
      <c r="B2389" t="s">
        <v>1151</v>
      </c>
      <c r="G2389">
        <v>4</v>
      </c>
      <c r="H2389" t="s">
        <v>27</v>
      </c>
      <c r="I2389">
        <v>850</v>
      </c>
      <c r="J2389">
        <v>853.5</v>
      </c>
      <c r="L2389" t="s">
        <v>12</v>
      </c>
      <c r="M2389" t="b">
        <v>0</v>
      </c>
      <c r="O2389" s="1">
        <v>46193.335266203707</v>
      </c>
    </row>
    <row r="2390" spans="1:15" x14ac:dyDescent="0.25">
      <c r="A2390">
        <v>-888918732</v>
      </c>
      <c r="B2390" t="s">
        <v>1151</v>
      </c>
      <c r="G2390">
        <v>16</v>
      </c>
      <c r="H2390" t="s">
        <v>13</v>
      </c>
      <c r="I2390">
        <v>370</v>
      </c>
      <c r="J2390">
        <v>370.1</v>
      </c>
      <c r="L2390" t="s">
        <v>12</v>
      </c>
      <c r="M2390" t="b">
        <v>0</v>
      </c>
      <c r="O2390" s="1">
        <v>46193.335266203707</v>
      </c>
    </row>
    <row r="2391" spans="1:15" x14ac:dyDescent="0.25">
      <c r="A2391">
        <v>816648349</v>
      </c>
      <c r="B2391" t="s">
        <v>1153</v>
      </c>
      <c r="C2391" t="s">
        <v>1154</v>
      </c>
      <c r="D2391" t="s">
        <v>1155</v>
      </c>
      <c r="E2391" t="s">
        <v>336</v>
      </c>
      <c r="F2391">
        <v>50</v>
      </c>
      <c r="K2391" s="1">
        <v>46193.365034722221</v>
      </c>
      <c r="M2391" t="b">
        <v>0</v>
      </c>
      <c r="O2391" s="1">
        <v>46193.365034722221</v>
      </c>
    </row>
    <row r="2392" spans="1:15" x14ac:dyDescent="0.25">
      <c r="A2392">
        <v>-510068326</v>
      </c>
      <c r="B2392" t="s">
        <v>1153</v>
      </c>
      <c r="G2392">
        <v>41</v>
      </c>
      <c r="H2392" t="s">
        <v>29</v>
      </c>
      <c r="I2392">
        <v>1180</v>
      </c>
      <c r="J2392">
        <v>1183.3</v>
      </c>
      <c r="L2392" t="s">
        <v>12</v>
      </c>
      <c r="M2392" t="b">
        <v>0</v>
      </c>
      <c r="O2392" s="1">
        <v>46193.365034722221</v>
      </c>
    </row>
    <row r="2393" spans="1:15" x14ac:dyDescent="0.25">
      <c r="A2393">
        <v>-56345581</v>
      </c>
      <c r="B2393" t="s">
        <v>1153</v>
      </c>
      <c r="G2393">
        <v>35</v>
      </c>
      <c r="H2393" t="s">
        <v>36</v>
      </c>
      <c r="I2393">
        <v>44</v>
      </c>
      <c r="J2393">
        <v>44.9</v>
      </c>
      <c r="L2393" t="s">
        <v>15</v>
      </c>
      <c r="M2393" t="b">
        <v>0</v>
      </c>
      <c r="O2393" s="1">
        <v>46193.365034722221</v>
      </c>
    </row>
    <row r="2394" spans="1:15" x14ac:dyDescent="0.25">
      <c r="A2394">
        <v>-594042536</v>
      </c>
      <c r="B2394" t="s">
        <v>1153</v>
      </c>
      <c r="G2394">
        <v>16</v>
      </c>
      <c r="H2394" t="s">
        <v>13</v>
      </c>
      <c r="I2394">
        <v>160</v>
      </c>
      <c r="J2394">
        <v>160.1</v>
      </c>
      <c r="L2394" t="s">
        <v>12</v>
      </c>
      <c r="M2394" t="b">
        <v>0</v>
      </c>
      <c r="O2394" s="1">
        <v>46193.365034722221</v>
      </c>
    </row>
    <row r="2395" spans="1:15" x14ac:dyDescent="0.25">
      <c r="A2395">
        <v>319238518</v>
      </c>
      <c r="B2395" t="s">
        <v>1156</v>
      </c>
      <c r="C2395" t="s">
        <v>965</v>
      </c>
      <c r="D2395" t="s">
        <v>966</v>
      </c>
      <c r="E2395" t="s">
        <v>336</v>
      </c>
      <c r="F2395">
        <v>50</v>
      </c>
      <c r="K2395" s="1">
        <v>46193.500601851854</v>
      </c>
      <c r="M2395" t="b">
        <v>0</v>
      </c>
      <c r="O2395" s="1">
        <v>46193.500601851854</v>
      </c>
    </row>
    <row r="2396" spans="1:15" x14ac:dyDescent="0.25">
      <c r="A2396">
        <v>1580447167</v>
      </c>
      <c r="B2396" t="s">
        <v>1156</v>
      </c>
      <c r="G2396">
        <v>41</v>
      </c>
      <c r="H2396" t="s">
        <v>29</v>
      </c>
      <c r="I2396">
        <v>192.5</v>
      </c>
      <c r="J2396">
        <v>192.5</v>
      </c>
      <c r="L2396" t="s">
        <v>12</v>
      </c>
      <c r="M2396" t="b">
        <v>0</v>
      </c>
      <c r="O2396" s="1">
        <v>46193.500601851854</v>
      </c>
    </row>
    <row r="2397" spans="1:15" x14ac:dyDescent="0.25">
      <c r="A2397">
        <v>-115307372</v>
      </c>
      <c r="B2397" t="s">
        <v>1156</v>
      </c>
      <c r="G2397">
        <v>35</v>
      </c>
      <c r="H2397" t="s">
        <v>36</v>
      </c>
      <c r="I2397">
        <v>43</v>
      </c>
      <c r="J2397">
        <v>43.3</v>
      </c>
      <c r="L2397" t="s">
        <v>12</v>
      </c>
      <c r="M2397" t="b">
        <v>0</v>
      </c>
      <c r="O2397" s="1">
        <v>46193.500601851854</v>
      </c>
    </row>
    <row r="2398" spans="1:15" x14ac:dyDescent="0.25">
      <c r="A2398">
        <v>1241886213</v>
      </c>
      <c r="B2398" t="s">
        <v>1157</v>
      </c>
      <c r="C2398" t="s">
        <v>1158</v>
      </c>
      <c r="D2398" t="s">
        <v>380</v>
      </c>
      <c r="E2398" t="s">
        <v>313</v>
      </c>
      <c r="F2398">
        <v>50</v>
      </c>
      <c r="K2398" s="1">
        <v>46193.505069444444</v>
      </c>
      <c r="M2398" t="b">
        <v>0</v>
      </c>
      <c r="O2398" s="1">
        <v>46193.505069444444</v>
      </c>
    </row>
    <row r="2399" spans="1:15" x14ac:dyDescent="0.25">
      <c r="A2399">
        <v>1167594722</v>
      </c>
      <c r="B2399" t="s">
        <v>1157</v>
      </c>
      <c r="G2399">
        <v>41</v>
      </c>
      <c r="H2399" t="s">
        <v>29</v>
      </c>
      <c r="I2399">
        <v>299</v>
      </c>
      <c r="J2399">
        <v>300.5</v>
      </c>
      <c r="L2399" t="s">
        <v>12</v>
      </c>
      <c r="M2399" t="b">
        <v>0</v>
      </c>
      <c r="O2399" s="1">
        <v>46193.505069444444</v>
      </c>
    </row>
    <row r="2400" spans="1:15" x14ac:dyDescent="0.25">
      <c r="A2400">
        <v>754890683</v>
      </c>
      <c r="B2400" t="s">
        <v>1157</v>
      </c>
      <c r="G2400">
        <v>58</v>
      </c>
      <c r="H2400" t="s">
        <v>32</v>
      </c>
      <c r="I2400">
        <v>666.5</v>
      </c>
      <c r="J2400">
        <v>668.5</v>
      </c>
      <c r="L2400" t="s">
        <v>12</v>
      </c>
      <c r="M2400" t="b">
        <v>0</v>
      </c>
      <c r="O2400" s="1">
        <v>46193.505069444444</v>
      </c>
    </row>
    <row r="2401" spans="1:15" x14ac:dyDescent="0.25">
      <c r="A2401">
        <v>1234718176</v>
      </c>
      <c r="B2401" t="s">
        <v>1157</v>
      </c>
      <c r="G2401">
        <v>16</v>
      </c>
      <c r="H2401" t="s">
        <v>13</v>
      </c>
      <c r="I2401">
        <v>513</v>
      </c>
      <c r="J2401">
        <v>512.1</v>
      </c>
      <c r="L2401" t="s">
        <v>12</v>
      </c>
      <c r="M2401" t="b">
        <v>0</v>
      </c>
      <c r="O2401" s="1">
        <v>46193.505069444444</v>
      </c>
    </row>
    <row r="2402" spans="1:15" x14ac:dyDescent="0.25">
      <c r="A2402">
        <v>-574820255</v>
      </c>
      <c r="B2402" t="s">
        <v>1157</v>
      </c>
      <c r="G2402">
        <v>35</v>
      </c>
      <c r="H2402" t="s">
        <v>36</v>
      </c>
      <c r="I2402">
        <v>59.5</v>
      </c>
      <c r="J2402">
        <v>59.1</v>
      </c>
      <c r="L2402" t="s">
        <v>12</v>
      </c>
      <c r="M2402" t="b">
        <v>0</v>
      </c>
      <c r="O2402" s="1">
        <v>46193.505069444444</v>
      </c>
    </row>
    <row r="2403" spans="1:15" x14ac:dyDescent="0.25">
      <c r="A2403">
        <v>-1385339122</v>
      </c>
      <c r="B2403" t="s">
        <v>1157</v>
      </c>
      <c r="G2403">
        <v>59</v>
      </c>
      <c r="H2403" t="s">
        <v>31</v>
      </c>
      <c r="I2403">
        <v>10</v>
      </c>
      <c r="J2403">
        <v>10.5</v>
      </c>
      <c r="L2403" t="s">
        <v>15</v>
      </c>
      <c r="M2403" t="b">
        <v>0</v>
      </c>
      <c r="O2403" s="1">
        <v>46193.505069444444</v>
      </c>
    </row>
    <row r="2404" spans="1:15" x14ac:dyDescent="0.25">
      <c r="A2404">
        <v>-1001279113</v>
      </c>
      <c r="B2404" t="s">
        <v>1159</v>
      </c>
      <c r="C2404" t="s">
        <v>395</v>
      </c>
      <c r="D2404" t="s">
        <v>396</v>
      </c>
      <c r="E2404" t="s">
        <v>313</v>
      </c>
      <c r="F2404">
        <v>50</v>
      </c>
      <c r="K2404" s="1">
        <v>46193.509965277779</v>
      </c>
      <c r="M2404" t="b">
        <v>0</v>
      </c>
      <c r="O2404" s="1">
        <v>46193.509965277779</v>
      </c>
    </row>
    <row r="2405" spans="1:15" x14ac:dyDescent="0.25">
      <c r="A2405">
        <v>848108524</v>
      </c>
      <c r="B2405" t="s">
        <v>1159</v>
      </c>
      <c r="G2405">
        <v>41</v>
      </c>
      <c r="H2405" t="s">
        <v>29</v>
      </c>
      <c r="I2405">
        <v>330</v>
      </c>
      <c r="J2405">
        <v>327.2</v>
      </c>
      <c r="L2405" t="s">
        <v>12</v>
      </c>
      <c r="M2405" t="b">
        <v>0</v>
      </c>
      <c r="O2405" s="1">
        <v>46193.509965277779</v>
      </c>
    </row>
    <row r="2406" spans="1:15" x14ac:dyDescent="0.25">
      <c r="A2406">
        <v>149155965</v>
      </c>
      <c r="B2406" t="s">
        <v>1159</v>
      </c>
      <c r="G2406">
        <v>11</v>
      </c>
      <c r="H2406" t="s">
        <v>33</v>
      </c>
      <c r="I2406">
        <v>14</v>
      </c>
      <c r="J2406">
        <v>13.8</v>
      </c>
      <c r="L2406" t="s">
        <v>15</v>
      </c>
      <c r="M2406" t="b">
        <v>0</v>
      </c>
      <c r="O2406" s="1">
        <v>46193.509965277779</v>
      </c>
    </row>
    <row r="2407" spans="1:15" x14ac:dyDescent="0.25">
      <c r="A2407">
        <v>-933129222</v>
      </c>
      <c r="B2407" t="s">
        <v>1159</v>
      </c>
      <c r="G2407">
        <v>68</v>
      </c>
      <c r="H2407" t="s">
        <v>14</v>
      </c>
      <c r="I2407">
        <v>38</v>
      </c>
      <c r="J2407">
        <v>37.9</v>
      </c>
      <c r="L2407" t="s">
        <v>12</v>
      </c>
      <c r="M2407" t="b">
        <v>0</v>
      </c>
      <c r="O2407" s="1">
        <v>46193.509965277779</v>
      </c>
    </row>
    <row r="2408" spans="1:15" x14ac:dyDescent="0.25">
      <c r="A2408">
        <v>-2137415949</v>
      </c>
      <c r="B2408" t="s">
        <v>1159</v>
      </c>
      <c r="G2408">
        <v>59</v>
      </c>
      <c r="H2408" t="s">
        <v>31</v>
      </c>
      <c r="I2408">
        <v>30</v>
      </c>
      <c r="J2408">
        <v>30</v>
      </c>
      <c r="L2408" t="s">
        <v>12</v>
      </c>
      <c r="M2408" t="b">
        <v>0</v>
      </c>
      <c r="O2408" s="1">
        <v>46193.509965277779</v>
      </c>
    </row>
    <row r="2409" spans="1:15" x14ac:dyDescent="0.25">
      <c r="A2409">
        <v>-280502694</v>
      </c>
      <c r="B2409" t="s">
        <v>1160</v>
      </c>
      <c r="C2409" t="s">
        <v>1152</v>
      </c>
      <c r="D2409" t="s">
        <v>225</v>
      </c>
      <c r="E2409" t="s">
        <v>340</v>
      </c>
      <c r="F2409">
        <v>250</v>
      </c>
      <c r="K2409" s="1">
        <v>46193.570104166669</v>
      </c>
      <c r="M2409" t="b">
        <v>0</v>
      </c>
      <c r="O2409" s="1">
        <v>46193.570104166669</v>
      </c>
    </row>
    <row r="2410" spans="1:15" x14ac:dyDescent="0.25">
      <c r="A2410">
        <v>-169414189</v>
      </c>
      <c r="B2410" t="s">
        <v>1160</v>
      </c>
      <c r="G2410">
        <v>41</v>
      </c>
      <c r="H2410" t="s">
        <v>29</v>
      </c>
      <c r="I2410">
        <v>4800</v>
      </c>
      <c r="J2410">
        <v>4814.5</v>
      </c>
      <c r="L2410" t="s">
        <v>12</v>
      </c>
      <c r="M2410" t="b">
        <v>0</v>
      </c>
      <c r="O2410" s="1">
        <v>46193.570104166669</v>
      </c>
    </row>
    <row r="2411" spans="1:15" x14ac:dyDescent="0.25">
      <c r="A2411">
        <v>1285297176</v>
      </c>
      <c r="B2411" t="s">
        <v>1160</v>
      </c>
      <c r="G2411">
        <v>35</v>
      </c>
      <c r="H2411" t="s">
        <v>36</v>
      </c>
      <c r="I2411">
        <v>400</v>
      </c>
      <c r="J2411">
        <v>401.1</v>
      </c>
      <c r="L2411" t="s">
        <v>12</v>
      </c>
      <c r="M2411" t="b">
        <v>0</v>
      </c>
      <c r="O2411" s="1">
        <v>46193.570104166669</v>
      </c>
    </row>
    <row r="2412" spans="1:15" x14ac:dyDescent="0.25">
      <c r="A2412">
        <v>1065162809</v>
      </c>
      <c r="B2412" t="s">
        <v>1160</v>
      </c>
      <c r="G2412">
        <v>4</v>
      </c>
      <c r="H2412" t="s">
        <v>27</v>
      </c>
      <c r="I2412">
        <v>700</v>
      </c>
      <c r="J2412">
        <v>697.1</v>
      </c>
      <c r="L2412" t="s">
        <v>12</v>
      </c>
      <c r="M2412" t="b">
        <v>0</v>
      </c>
      <c r="O2412" s="1">
        <v>46193.570104166669</v>
      </c>
    </row>
    <row r="2413" spans="1:15" x14ac:dyDescent="0.25">
      <c r="A2413">
        <v>1040218118</v>
      </c>
      <c r="B2413" t="s">
        <v>1160</v>
      </c>
      <c r="G2413">
        <v>16</v>
      </c>
      <c r="H2413" t="s">
        <v>13</v>
      </c>
      <c r="I2413">
        <v>200</v>
      </c>
      <c r="J2413">
        <v>199.2</v>
      </c>
      <c r="L2413" t="s">
        <v>12</v>
      </c>
      <c r="M2413" t="b">
        <v>0</v>
      </c>
      <c r="O2413" s="1">
        <v>46193.570104166669</v>
      </c>
    </row>
    <row r="2414" spans="1:15" x14ac:dyDescent="0.25">
      <c r="A2414">
        <v>-1994714101</v>
      </c>
      <c r="B2414" t="s">
        <v>1161</v>
      </c>
      <c r="C2414" t="s">
        <v>965</v>
      </c>
      <c r="D2414" t="s">
        <v>966</v>
      </c>
      <c r="E2414" t="s">
        <v>336</v>
      </c>
      <c r="F2414">
        <v>50</v>
      </c>
      <c r="K2414" s="1">
        <v>46193.58252314815</v>
      </c>
      <c r="M2414" t="b">
        <v>0</v>
      </c>
      <c r="O2414" s="1">
        <v>46193.58252314815</v>
      </c>
    </row>
    <row r="2415" spans="1:15" x14ac:dyDescent="0.25">
      <c r="A2415">
        <v>2038720496</v>
      </c>
      <c r="B2415" t="s">
        <v>1161</v>
      </c>
      <c r="G2415">
        <v>41</v>
      </c>
      <c r="H2415" t="s">
        <v>29</v>
      </c>
      <c r="I2415">
        <v>230</v>
      </c>
      <c r="J2415">
        <v>230.2</v>
      </c>
      <c r="L2415" t="s">
        <v>12</v>
      </c>
      <c r="M2415" t="b">
        <v>0</v>
      </c>
      <c r="O2415" s="1">
        <v>46193.58252314815</v>
      </c>
    </row>
    <row r="2416" spans="1:15" x14ac:dyDescent="0.25">
      <c r="A2416">
        <v>-1649941199</v>
      </c>
      <c r="B2416" t="s">
        <v>1161</v>
      </c>
      <c r="G2416">
        <v>35</v>
      </c>
      <c r="H2416" t="s">
        <v>36</v>
      </c>
      <c r="I2416">
        <v>51</v>
      </c>
      <c r="J2416">
        <v>51</v>
      </c>
      <c r="L2416" t="s">
        <v>12</v>
      </c>
      <c r="M2416" t="b">
        <v>0</v>
      </c>
      <c r="O2416" s="1">
        <v>46193.58252314815</v>
      </c>
    </row>
    <row r="2417" spans="1:15" x14ac:dyDescent="0.25">
      <c r="A2417">
        <v>-1515368546</v>
      </c>
      <c r="B2417" t="s">
        <v>1162</v>
      </c>
      <c r="C2417" t="s">
        <v>737</v>
      </c>
      <c r="D2417" t="s">
        <v>428</v>
      </c>
      <c r="E2417" t="s">
        <v>340</v>
      </c>
      <c r="F2417">
        <v>250</v>
      </c>
      <c r="K2417" s="1">
        <v>46193.59337962963</v>
      </c>
      <c r="M2417" t="b">
        <v>0</v>
      </c>
      <c r="O2417" s="1">
        <v>46193.59337962963</v>
      </c>
    </row>
    <row r="2418" spans="1:15" x14ac:dyDescent="0.25">
      <c r="A2418">
        <v>645853895</v>
      </c>
      <c r="B2418" t="s">
        <v>1162</v>
      </c>
      <c r="G2418">
        <v>41</v>
      </c>
      <c r="H2418" t="s">
        <v>29</v>
      </c>
      <c r="I2418">
        <v>2000</v>
      </c>
      <c r="J2418">
        <v>2001</v>
      </c>
      <c r="L2418" t="s">
        <v>12</v>
      </c>
      <c r="M2418" t="b">
        <v>0</v>
      </c>
      <c r="O2418" s="1">
        <v>46193.59337962963</v>
      </c>
    </row>
    <row r="2419" spans="1:15" x14ac:dyDescent="0.25">
      <c r="A2419">
        <v>-516983044</v>
      </c>
      <c r="B2419" t="s">
        <v>1162</v>
      </c>
      <c r="G2419">
        <v>44</v>
      </c>
      <c r="H2419" t="s">
        <v>16</v>
      </c>
      <c r="I2419">
        <v>85</v>
      </c>
      <c r="J2419">
        <v>84.9</v>
      </c>
      <c r="L2419" t="s">
        <v>12</v>
      </c>
      <c r="M2419" t="b">
        <v>0</v>
      </c>
      <c r="O2419" s="1">
        <v>46193.59337962963</v>
      </c>
    </row>
    <row r="2420" spans="1:15" x14ac:dyDescent="0.25">
      <c r="A2420">
        <v>222188109</v>
      </c>
      <c r="B2420" t="s">
        <v>1162</v>
      </c>
      <c r="G2420">
        <v>35</v>
      </c>
      <c r="H2420" t="s">
        <v>36</v>
      </c>
      <c r="I2420">
        <v>130</v>
      </c>
      <c r="J2420">
        <v>129.69999999999999</v>
      </c>
      <c r="L2420" t="s">
        <v>12</v>
      </c>
      <c r="M2420" t="b">
        <v>0</v>
      </c>
      <c r="O2420" s="1">
        <v>46193.59337962963</v>
      </c>
    </row>
    <row r="2421" spans="1:15" x14ac:dyDescent="0.25">
      <c r="A2421">
        <v>-167894603</v>
      </c>
      <c r="B2421" t="s">
        <v>1163</v>
      </c>
      <c r="C2421" t="s">
        <v>1152</v>
      </c>
      <c r="D2421" t="s">
        <v>225</v>
      </c>
      <c r="E2421" t="s">
        <v>340</v>
      </c>
      <c r="F2421">
        <v>250</v>
      </c>
      <c r="K2421" s="1">
        <v>46193.731550925928</v>
      </c>
      <c r="M2421" t="b">
        <v>0</v>
      </c>
      <c r="O2421" s="1">
        <v>46193.731550925928</v>
      </c>
    </row>
    <row r="2422" spans="1:15" x14ac:dyDescent="0.25">
      <c r="A2422">
        <v>875858642</v>
      </c>
      <c r="B2422" t="s">
        <v>1163</v>
      </c>
      <c r="G2422">
        <v>41</v>
      </c>
      <c r="H2422" t="s">
        <v>29</v>
      </c>
      <c r="I2422">
        <v>4800</v>
      </c>
      <c r="J2422">
        <v>4802.8</v>
      </c>
      <c r="L2422" t="s">
        <v>12</v>
      </c>
      <c r="M2422" t="b">
        <v>0</v>
      </c>
      <c r="O2422" s="1">
        <v>46193.731550925928</v>
      </c>
    </row>
    <row r="2423" spans="1:15" x14ac:dyDescent="0.25">
      <c r="A2423">
        <v>2088047339</v>
      </c>
      <c r="B2423" t="s">
        <v>1163</v>
      </c>
      <c r="G2423">
        <v>35</v>
      </c>
      <c r="H2423" t="s">
        <v>36</v>
      </c>
      <c r="I2423">
        <v>400</v>
      </c>
      <c r="J2423">
        <v>455.2</v>
      </c>
      <c r="L2423" t="s">
        <v>15</v>
      </c>
      <c r="M2423" t="b">
        <v>0</v>
      </c>
      <c r="O2423" s="1">
        <v>46193.731550925928</v>
      </c>
    </row>
    <row r="2424" spans="1:15" x14ac:dyDescent="0.25">
      <c r="A2424">
        <v>1934849360</v>
      </c>
      <c r="B2424" t="s">
        <v>1163</v>
      </c>
      <c r="G2424">
        <v>4</v>
      </c>
      <c r="H2424" t="s">
        <v>27</v>
      </c>
      <c r="I2424">
        <v>700</v>
      </c>
      <c r="J2424">
        <v>698</v>
      </c>
      <c r="L2424" t="s">
        <v>12</v>
      </c>
      <c r="M2424" t="b">
        <v>0</v>
      </c>
      <c r="O2424" s="1">
        <v>46193.731550925928</v>
      </c>
    </row>
    <row r="2425" spans="1:15" x14ac:dyDescent="0.25">
      <c r="A2425">
        <v>85032721</v>
      </c>
      <c r="B2425" t="s">
        <v>1163</v>
      </c>
      <c r="G2425">
        <v>16</v>
      </c>
      <c r="H2425" t="s">
        <v>13</v>
      </c>
      <c r="I2425">
        <v>200</v>
      </c>
      <c r="J2425">
        <v>201.6</v>
      </c>
      <c r="L2425" t="s">
        <v>12</v>
      </c>
      <c r="M2425" t="b">
        <v>0</v>
      </c>
      <c r="O2425" s="1">
        <v>46193.731550925928</v>
      </c>
    </row>
    <row r="2426" spans="1:15" x14ac:dyDescent="0.25">
      <c r="A2426">
        <v>132099477</v>
      </c>
      <c r="B2426" t="s">
        <v>1164</v>
      </c>
      <c r="C2426" t="s">
        <v>593</v>
      </c>
      <c r="D2426" t="s">
        <v>605</v>
      </c>
      <c r="E2426" t="s">
        <v>313</v>
      </c>
      <c r="F2426">
        <v>120</v>
      </c>
      <c r="K2426" s="1">
        <v>46193.841689814813</v>
      </c>
      <c r="M2426" t="b">
        <v>0</v>
      </c>
      <c r="O2426" s="1">
        <v>46193.841689814813</v>
      </c>
    </row>
    <row r="2427" spans="1:15" x14ac:dyDescent="0.25">
      <c r="A2427">
        <v>-1803198158</v>
      </c>
      <c r="B2427" t="s">
        <v>1164</v>
      </c>
      <c r="G2427">
        <v>41</v>
      </c>
      <c r="H2427" t="s">
        <v>29</v>
      </c>
      <c r="I2427">
        <v>672</v>
      </c>
      <c r="J2427">
        <v>672.6</v>
      </c>
      <c r="L2427" t="s">
        <v>12</v>
      </c>
      <c r="M2427" t="b">
        <v>0</v>
      </c>
      <c r="O2427" s="1">
        <v>46193.841689814813</v>
      </c>
    </row>
    <row r="2428" spans="1:15" x14ac:dyDescent="0.25">
      <c r="A2428">
        <v>-1018887733</v>
      </c>
      <c r="B2428" t="s">
        <v>1164</v>
      </c>
      <c r="G2428">
        <v>58</v>
      </c>
      <c r="H2428" t="s">
        <v>32</v>
      </c>
      <c r="I2428">
        <v>960</v>
      </c>
      <c r="J2428">
        <v>953.3</v>
      </c>
      <c r="L2428" t="s">
        <v>12</v>
      </c>
      <c r="M2428" t="b">
        <v>0</v>
      </c>
      <c r="O2428" s="1">
        <v>46193.841689814813</v>
      </c>
    </row>
    <row r="2429" spans="1:15" x14ac:dyDescent="0.25">
      <c r="A2429">
        <v>243118768</v>
      </c>
      <c r="B2429" t="s">
        <v>1164</v>
      </c>
      <c r="G2429">
        <v>59</v>
      </c>
      <c r="H2429" t="s">
        <v>31</v>
      </c>
      <c r="I2429">
        <v>96</v>
      </c>
      <c r="J2429">
        <v>96.3</v>
      </c>
      <c r="L2429" t="s">
        <v>12</v>
      </c>
      <c r="M2429" t="b">
        <v>0</v>
      </c>
      <c r="O2429" s="1">
        <v>46193.841689814813</v>
      </c>
    </row>
    <row r="2430" spans="1:15" x14ac:dyDescent="0.25">
      <c r="A2430">
        <v>-1230862095</v>
      </c>
      <c r="B2430" t="s">
        <v>1164</v>
      </c>
      <c r="G2430">
        <v>35</v>
      </c>
      <c r="H2430" t="s">
        <v>36</v>
      </c>
      <c r="I2430">
        <v>228</v>
      </c>
      <c r="J2430">
        <v>229.4</v>
      </c>
      <c r="L2430" t="s">
        <v>12</v>
      </c>
      <c r="M2430" t="b">
        <v>0</v>
      </c>
      <c r="O2430" s="1">
        <v>46193.841689814813</v>
      </c>
    </row>
    <row r="2431" spans="1:15" x14ac:dyDescent="0.25">
      <c r="A2431">
        <v>-989738649</v>
      </c>
      <c r="B2431" t="s">
        <v>1165</v>
      </c>
      <c r="C2431" t="s">
        <v>1166</v>
      </c>
      <c r="D2431" t="s">
        <v>1167</v>
      </c>
      <c r="E2431" t="s">
        <v>313</v>
      </c>
      <c r="F2431">
        <v>15</v>
      </c>
      <c r="K2431" s="1">
        <v>46193.992731481485</v>
      </c>
      <c r="M2431" t="b">
        <v>0</v>
      </c>
      <c r="O2431" s="1">
        <v>46193.992731481485</v>
      </c>
    </row>
    <row r="2432" spans="1:15" x14ac:dyDescent="0.25">
      <c r="A2432">
        <v>-754781924</v>
      </c>
      <c r="B2432" t="s">
        <v>1165</v>
      </c>
      <c r="G2432">
        <v>41</v>
      </c>
      <c r="H2432" t="s">
        <v>29</v>
      </c>
      <c r="I2432">
        <v>252</v>
      </c>
      <c r="J2432">
        <v>252.6</v>
      </c>
      <c r="L2432" t="s">
        <v>12</v>
      </c>
      <c r="M2432" t="b">
        <v>0</v>
      </c>
      <c r="O2432" s="1">
        <v>46193.992731481485</v>
      </c>
    </row>
    <row r="2433" spans="1:15" x14ac:dyDescent="0.25">
      <c r="A2433">
        <v>1998817773</v>
      </c>
      <c r="B2433" t="s">
        <v>1165</v>
      </c>
      <c r="G2433">
        <v>53</v>
      </c>
      <c r="H2433" t="s">
        <v>148</v>
      </c>
      <c r="I2433">
        <v>24.75</v>
      </c>
      <c r="J2433">
        <v>24.6</v>
      </c>
      <c r="L2433" t="s">
        <v>12</v>
      </c>
      <c r="M2433" t="b">
        <v>0</v>
      </c>
      <c r="O2433" s="1">
        <v>46193.992731481485</v>
      </c>
    </row>
    <row r="2434" spans="1:15" x14ac:dyDescent="0.25">
      <c r="A2434">
        <v>2037001386</v>
      </c>
      <c r="B2434" t="s">
        <v>1165</v>
      </c>
      <c r="G2434">
        <v>26</v>
      </c>
      <c r="H2434" t="s">
        <v>186</v>
      </c>
      <c r="I2434">
        <v>19.5</v>
      </c>
      <c r="J2434">
        <v>19.5</v>
      </c>
      <c r="L2434" t="s">
        <v>12</v>
      </c>
      <c r="M2434" t="b">
        <v>0</v>
      </c>
      <c r="O2434" s="1">
        <v>46193.992731481485</v>
      </c>
    </row>
    <row r="2435" spans="1:15" x14ac:dyDescent="0.25">
      <c r="A2435">
        <v>340432355</v>
      </c>
      <c r="B2435" t="s">
        <v>1165</v>
      </c>
      <c r="G2435">
        <v>57</v>
      </c>
      <c r="H2435" t="s">
        <v>17</v>
      </c>
      <c r="I2435">
        <v>99</v>
      </c>
      <c r="J2435">
        <v>99</v>
      </c>
      <c r="L2435" t="s">
        <v>12</v>
      </c>
      <c r="M2435" t="b">
        <v>0</v>
      </c>
      <c r="O2435" s="1">
        <v>46193.992731481485</v>
      </c>
    </row>
    <row r="2436" spans="1:15" x14ac:dyDescent="0.25">
      <c r="A2436">
        <v>388231972</v>
      </c>
      <c r="B2436" t="s">
        <v>1168</v>
      </c>
      <c r="C2436" t="s">
        <v>362</v>
      </c>
      <c r="D2436" t="s">
        <v>363</v>
      </c>
      <c r="E2436" t="s">
        <v>364</v>
      </c>
      <c r="F2436">
        <v>100</v>
      </c>
      <c r="K2436" s="1">
        <v>46194.051828703705</v>
      </c>
      <c r="M2436" t="b">
        <v>0</v>
      </c>
      <c r="O2436" s="1">
        <v>46194.051828703705</v>
      </c>
    </row>
    <row r="2437" spans="1:15" x14ac:dyDescent="0.25">
      <c r="A2437">
        <v>1925453141</v>
      </c>
      <c r="B2437" t="s">
        <v>1168</v>
      </c>
      <c r="G2437">
        <v>41</v>
      </c>
      <c r="H2437" t="s">
        <v>29</v>
      </c>
      <c r="I2437">
        <v>1388</v>
      </c>
      <c r="J2437">
        <v>1388.4</v>
      </c>
      <c r="L2437" t="s">
        <v>12</v>
      </c>
      <c r="M2437" t="b">
        <v>0</v>
      </c>
      <c r="O2437" s="1">
        <v>46194.051828703705</v>
      </c>
    </row>
    <row r="2438" spans="1:15" x14ac:dyDescent="0.25">
      <c r="A2438">
        <v>-1008591374</v>
      </c>
      <c r="B2438" t="s">
        <v>1168</v>
      </c>
      <c r="G2438">
        <v>35</v>
      </c>
      <c r="H2438" t="s">
        <v>36</v>
      </c>
      <c r="I2438">
        <v>40</v>
      </c>
      <c r="J2438">
        <v>40.5</v>
      </c>
      <c r="L2438" t="s">
        <v>15</v>
      </c>
      <c r="M2438" t="b">
        <v>0</v>
      </c>
      <c r="O2438" s="1">
        <v>46194.051828703705</v>
      </c>
    </row>
    <row r="2439" spans="1:15" x14ac:dyDescent="0.25">
      <c r="A2439">
        <v>-668553333</v>
      </c>
      <c r="B2439" t="s">
        <v>1168</v>
      </c>
      <c r="G2439">
        <v>44</v>
      </c>
      <c r="H2439" t="s">
        <v>16</v>
      </c>
      <c r="I2439">
        <v>29</v>
      </c>
      <c r="J2439">
        <v>29.5</v>
      </c>
      <c r="L2439" t="s">
        <v>15</v>
      </c>
      <c r="M2439" t="b">
        <v>0</v>
      </c>
      <c r="O2439" s="1">
        <v>46194.051828703705</v>
      </c>
    </row>
    <row r="2440" spans="1:15" x14ac:dyDescent="0.25">
      <c r="A2440">
        <v>742636912</v>
      </c>
      <c r="B2440" t="s">
        <v>1168</v>
      </c>
      <c r="G2440">
        <v>16</v>
      </c>
      <c r="H2440" t="s">
        <v>13</v>
      </c>
      <c r="I2440">
        <v>130</v>
      </c>
      <c r="J2440">
        <v>130.80000000000001</v>
      </c>
      <c r="L2440" t="s">
        <v>12</v>
      </c>
      <c r="M2440" t="b">
        <v>0</v>
      </c>
      <c r="O2440" s="1">
        <v>46194.051828703705</v>
      </c>
    </row>
    <row r="2441" spans="1:15" x14ac:dyDescent="0.25">
      <c r="A2441">
        <v>-803541839</v>
      </c>
      <c r="B2441" t="s">
        <v>1169</v>
      </c>
      <c r="C2441" t="s">
        <v>469</v>
      </c>
      <c r="D2441" t="s">
        <v>470</v>
      </c>
      <c r="E2441" t="s">
        <v>340</v>
      </c>
      <c r="F2441">
        <v>250</v>
      </c>
      <c r="K2441" s="1">
        <v>46194.055034722223</v>
      </c>
      <c r="M2441" t="b">
        <v>0</v>
      </c>
      <c r="O2441" s="1">
        <v>46194.055034722223</v>
      </c>
    </row>
    <row r="2442" spans="1:15" x14ac:dyDescent="0.25">
      <c r="A2442">
        <v>1017291038</v>
      </c>
      <c r="B2442" t="s">
        <v>1169</v>
      </c>
      <c r="G2442">
        <v>41</v>
      </c>
      <c r="H2442" t="s">
        <v>29</v>
      </c>
      <c r="I2442">
        <v>1500</v>
      </c>
      <c r="J2442">
        <v>1504.3</v>
      </c>
      <c r="L2442" t="s">
        <v>12</v>
      </c>
      <c r="M2442" t="b">
        <v>0</v>
      </c>
      <c r="O2442" s="1">
        <v>46194.055034722223</v>
      </c>
    </row>
    <row r="2443" spans="1:15" x14ac:dyDescent="0.25">
      <c r="A2443">
        <v>-153663929</v>
      </c>
      <c r="B2443" t="s">
        <v>1169</v>
      </c>
      <c r="G2443">
        <v>16</v>
      </c>
      <c r="H2443" t="s">
        <v>13</v>
      </c>
      <c r="I2443">
        <v>25</v>
      </c>
      <c r="J2443">
        <v>24.6</v>
      </c>
      <c r="L2443" t="s">
        <v>15</v>
      </c>
      <c r="M2443" t="b">
        <v>0</v>
      </c>
      <c r="O2443" s="1">
        <v>46194.055034722223</v>
      </c>
    </row>
    <row r="2444" spans="1:15" x14ac:dyDescent="0.25">
      <c r="A2444">
        <v>-1544281943</v>
      </c>
      <c r="B2444" t="s">
        <v>1170</v>
      </c>
      <c r="C2444" t="s">
        <v>615</v>
      </c>
      <c r="D2444" t="s">
        <v>616</v>
      </c>
      <c r="E2444" t="s">
        <v>313</v>
      </c>
      <c r="F2444">
        <v>100</v>
      </c>
      <c r="K2444" s="1">
        <v>46194.140763888892</v>
      </c>
      <c r="M2444" t="b">
        <v>0</v>
      </c>
      <c r="O2444" s="1">
        <v>46194.140763888892</v>
      </c>
    </row>
    <row r="2445" spans="1:15" x14ac:dyDescent="0.25">
      <c r="A2445">
        <v>-998141002</v>
      </c>
      <c r="B2445" t="s">
        <v>1170</v>
      </c>
      <c r="G2445">
        <v>41</v>
      </c>
      <c r="H2445" t="s">
        <v>29</v>
      </c>
      <c r="I2445">
        <v>1750</v>
      </c>
      <c r="J2445">
        <v>1752.7</v>
      </c>
      <c r="L2445" t="s">
        <v>12</v>
      </c>
      <c r="M2445" t="b">
        <v>0</v>
      </c>
      <c r="O2445" s="1">
        <v>46194.140763888892</v>
      </c>
    </row>
    <row r="2446" spans="1:15" x14ac:dyDescent="0.25">
      <c r="A2446">
        <v>-721650945</v>
      </c>
      <c r="B2446" t="s">
        <v>1170</v>
      </c>
      <c r="G2446">
        <v>35</v>
      </c>
      <c r="H2446" t="s">
        <v>36</v>
      </c>
      <c r="I2446">
        <v>56</v>
      </c>
      <c r="J2446">
        <v>56.3</v>
      </c>
      <c r="L2446" t="s">
        <v>12</v>
      </c>
      <c r="M2446" t="b">
        <v>0</v>
      </c>
      <c r="O2446" s="1">
        <v>46194.140763888892</v>
      </c>
    </row>
    <row r="2447" spans="1:15" x14ac:dyDescent="0.25">
      <c r="A2447">
        <v>1268955348</v>
      </c>
      <c r="B2447" t="s">
        <v>1170</v>
      </c>
      <c r="G2447">
        <v>44</v>
      </c>
      <c r="H2447" t="s">
        <v>16</v>
      </c>
      <c r="I2447">
        <v>76</v>
      </c>
      <c r="J2447">
        <v>76.599999999999994</v>
      </c>
      <c r="L2447" t="s">
        <v>12</v>
      </c>
      <c r="M2447" t="b">
        <v>0</v>
      </c>
      <c r="O2447" s="1">
        <v>46194.140763888892</v>
      </c>
    </row>
    <row r="2448" spans="1:15" x14ac:dyDescent="0.25">
      <c r="A2448">
        <v>-1901529787</v>
      </c>
      <c r="B2448" t="s">
        <v>1171</v>
      </c>
      <c r="C2448" t="s">
        <v>783</v>
      </c>
      <c r="D2448" t="s">
        <v>784</v>
      </c>
      <c r="E2448" t="s">
        <v>364</v>
      </c>
      <c r="F2448">
        <v>450</v>
      </c>
      <c r="K2448" s="1">
        <v>46194.144490740742</v>
      </c>
      <c r="M2448" t="b">
        <v>0</v>
      </c>
      <c r="O2448" s="1">
        <v>46194.144490740742</v>
      </c>
    </row>
    <row r="2449" spans="1:15" x14ac:dyDescent="0.25">
      <c r="A2449">
        <v>-1739646174</v>
      </c>
      <c r="B2449" t="s">
        <v>1171</v>
      </c>
      <c r="G2449">
        <v>41</v>
      </c>
      <c r="H2449" t="s">
        <v>29</v>
      </c>
      <c r="I2449">
        <v>7875</v>
      </c>
      <c r="J2449">
        <v>7878.2</v>
      </c>
      <c r="L2449" t="s">
        <v>12</v>
      </c>
      <c r="M2449" t="b">
        <v>0</v>
      </c>
      <c r="O2449" s="1">
        <v>46194.144490740742</v>
      </c>
    </row>
    <row r="2450" spans="1:15" x14ac:dyDescent="0.25">
      <c r="A2450">
        <v>1992839419</v>
      </c>
      <c r="B2450" t="s">
        <v>1171</v>
      </c>
      <c r="G2450">
        <v>35</v>
      </c>
      <c r="H2450" t="s">
        <v>36</v>
      </c>
      <c r="I2450">
        <v>225</v>
      </c>
      <c r="J2450">
        <v>226.7</v>
      </c>
      <c r="L2450" t="s">
        <v>12</v>
      </c>
      <c r="M2450" t="b">
        <v>0</v>
      </c>
      <c r="O2450" s="1">
        <v>46194.144490740742</v>
      </c>
    </row>
    <row r="2451" spans="1:15" x14ac:dyDescent="0.25">
      <c r="A2451">
        <v>1907867168</v>
      </c>
      <c r="B2451" t="s">
        <v>1171</v>
      </c>
      <c r="G2451">
        <v>16</v>
      </c>
      <c r="H2451" t="s">
        <v>13</v>
      </c>
      <c r="I2451">
        <v>765</v>
      </c>
      <c r="J2451">
        <v>765.7</v>
      </c>
      <c r="L2451" t="s">
        <v>12</v>
      </c>
      <c r="M2451" t="b">
        <v>0</v>
      </c>
      <c r="O2451" s="1">
        <v>46194.144490740742</v>
      </c>
    </row>
    <row r="2452" spans="1:15" x14ac:dyDescent="0.25">
      <c r="A2452">
        <v>983337389</v>
      </c>
      <c r="B2452" t="s">
        <v>1172</v>
      </c>
      <c r="C2452" t="s">
        <v>430</v>
      </c>
      <c r="D2452" t="s">
        <v>998</v>
      </c>
      <c r="E2452" t="s">
        <v>336</v>
      </c>
      <c r="F2452">
        <v>50</v>
      </c>
      <c r="K2452" s="1">
        <v>46194.237372685187</v>
      </c>
      <c r="M2452" t="b">
        <v>0</v>
      </c>
      <c r="O2452" s="1">
        <v>46194.237372685187</v>
      </c>
    </row>
    <row r="2453" spans="1:15" x14ac:dyDescent="0.25">
      <c r="A2453">
        <v>-1149918870</v>
      </c>
      <c r="B2453" t="s">
        <v>1172</v>
      </c>
      <c r="G2453">
        <v>41</v>
      </c>
      <c r="H2453" t="s">
        <v>29</v>
      </c>
      <c r="I2453">
        <v>640</v>
      </c>
      <c r="J2453">
        <v>641</v>
      </c>
      <c r="L2453" t="s">
        <v>12</v>
      </c>
      <c r="M2453" t="b">
        <v>0</v>
      </c>
      <c r="O2453" s="1">
        <v>46194.237372685187</v>
      </c>
    </row>
    <row r="2454" spans="1:15" x14ac:dyDescent="0.25">
      <c r="A2454">
        <v>1798478755</v>
      </c>
      <c r="B2454" t="s">
        <v>1172</v>
      </c>
      <c r="G2454">
        <v>35</v>
      </c>
      <c r="H2454" t="s">
        <v>36</v>
      </c>
      <c r="I2454">
        <v>23</v>
      </c>
      <c r="J2454">
        <v>23.3</v>
      </c>
      <c r="L2454" t="s">
        <v>15</v>
      </c>
      <c r="M2454" t="b">
        <v>0</v>
      </c>
      <c r="O2454" s="1">
        <v>46194.237372685187</v>
      </c>
    </row>
    <row r="2455" spans="1:15" x14ac:dyDescent="0.25">
      <c r="A2455">
        <v>1232719272</v>
      </c>
      <c r="B2455" t="s">
        <v>1173</v>
      </c>
      <c r="C2455" t="s">
        <v>379</v>
      </c>
      <c r="D2455" t="s">
        <v>428</v>
      </c>
      <c r="E2455" t="s">
        <v>313</v>
      </c>
      <c r="F2455">
        <v>50</v>
      </c>
      <c r="K2455" s="1">
        <v>46194.238599537035</v>
      </c>
      <c r="M2455" t="b">
        <v>0</v>
      </c>
      <c r="O2455" s="1">
        <v>46194.238599537035</v>
      </c>
    </row>
    <row r="2456" spans="1:15" x14ac:dyDescent="0.25">
      <c r="A2456">
        <v>2066617993</v>
      </c>
      <c r="B2456" t="s">
        <v>1173</v>
      </c>
      <c r="G2456">
        <v>41</v>
      </c>
      <c r="H2456" t="s">
        <v>29</v>
      </c>
      <c r="I2456">
        <v>250</v>
      </c>
      <c r="J2456">
        <v>250.7</v>
      </c>
      <c r="L2456" t="s">
        <v>12</v>
      </c>
      <c r="M2456" t="b">
        <v>0</v>
      </c>
      <c r="O2456" s="1">
        <v>46194.238599537035</v>
      </c>
    </row>
    <row r="2457" spans="1:15" x14ac:dyDescent="0.25">
      <c r="A2457">
        <v>-1111135778</v>
      </c>
      <c r="B2457" t="s">
        <v>1174</v>
      </c>
      <c r="C2457" t="s">
        <v>345</v>
      </c>
      <c r="D2457" t="s">
        <v>437</v>
      </c>
      <c r="E2457" t="s">
        <v>336</v>
      </c>
      <c r="F2457">
        <v>360</v>
      </c>
      <c r="K2457" s="1">
        <v>46194.290393518517</v>
      </c>
      <c r="M2457" t="b">
        <v>0</v>
      </c>
      <c r="O2457" s="1">
        <v>46194.290393518517</v>
      </c>
    </row>
    <row r="2458" spans="1:15" x14ac:dyDescent="0.25">
      <c r="A2458">
        <v>1515261959</v>
      </c>
      <c r="B2458" t="s">
        <v>1174</v>
      </c>
      <c r="H2458" t="s">
        <v>29</v>
      </c>
      <c r="I2458">
        <v>2628</v>
      </c>
      <c r="J2458">
        <v>2630.7</v>
      </c>
      <c r="L2458" t="s">
        <v>12</v>
      </c>
      <c r="M2458" t="b">
        <v>0</v>
      </c>
      <c r="O2458" s="1">
        <v>46194.290393518517</v>
      </c>
    </row>
    <row r="2459" spans="1:15" x14ac:dyDescent="0.25">
      <c r="A2459">
        <v>-748283076</v>
      </c>
      <c r="B2459" t="s">
        <v>1174</v>
      </c>
      <c r="G2459">
        <v>35</v>
      </c>
      <c r="H2459" t="s">
        <v>36</v>
      </c>
      <c r="I2459">
        <v>244.8</v>
      </c>
      <c r="J2459">
        <v>244.7</v>
      </c>
      <c r="L2459" t="s">
        <v>12</v>
      </c>
      <c r="M2459" t="b">
        <v>0</v>
      </c>
      <c r="O2459" s="1">
        <v>46194.290393518517</v>
      </c>
    </row>
    <row r="2460" spans="1:15" x14ac:dyDescent="0.25">
      <c r="A2460">
        <v>-2006273651</v>
      </c>
      <c r="B2460" t="s">
        <v>1174</v>
      </c>
      <c r="G2460">
        <v>44</v>
      </c>
      <c r="H2460" t="s">
        <v>16</v>
      </c>
      <c r="I2460">
        <v>172.8</v>
      </c>
      <c r="J2460">
        <v>171.6</v>
      </c>
      <c r="L2460" t="s">
        <v>12</v>
      </c>
      <c r="M2460" t="b">
        <v>0</v>
      </c>
      <c r="O2460" s="1">
        <v>46194.290393518517</v>
      </c>
    </row>
    <row r="2461" spans="1:15" x14ac:dyDescent="0.25">
      <c r="A2461">
        <v>1781720700</v>
      </c>
      <c r="B2461" t="s">
        <v>1175</v>
      </c>
      <c r="C2461" t="s">
        <v>1058</v>
      </c>
      <c r="D2461" t="s">
        <v>1059</v>
      </c>
      <c r="E2461" t="s">
        <v>340</v>
      </c>
      <c r="F2461">
        <v>100</v>
      </c>
      <c r="K2461" s="1">
        <v>46191.059027777781</v>
      </c>
      <c r="M2461" t="b">
        <v>0</v>
      </c>
      <c r="O2461" s="1">
        <v>46191.059027777781</v>
      </c>
    </row>
    <row r="2462" spans="1:15" x14ac:dyDescent="0.25">
      <c r="A2462">
        <v>-1727665203</v>
      </c>
      <c r="B2462" t="s">
        <v>1175</v>
      </c>
      <c r="G2462">
        <v>41</v>
      </c>
      <c r="H2462" t="s">
        <v>29</v>
      </c>
      <c r="I2462">
        <v>1060</v>
      </c>
      <c r="J2462">
        <v>1061.2</v>
      </c>
      <c r="L2462" t="s">
        <v>12</v>
      </c>
      <c r="M2462" t="b">
        <v>0</v>
      </c>
      <c r="O2462" s="1">
        <v>46191.059027777781</v>
      </c>
    </row>
    <row r="2463" spans="1:15" x14ac:dyDescent="0.25">
      <c r="A2463">
        <v>-366698230</v>
      </c>
      <c r="B2463" t="s">
        <v>1175</v>
      </c>
      <c r="G2463">
        <v>35</v>
      </c>
      <c r="H2463" t="s">
        <v>36</v>
      </c>
      <c r="I2463">
        <v>192</v>
      </c>
      <c r="J2463">
        <v>192.5</v>
      </c>
      <c r="L2463" t="s">
        <v>12</v>
      </c>
      <c r="M2463" t="b">
        <v>0</v>
      </c>
      <c r="O2463" s="1">
        <v>46191.059027777781</v>
      </c>
    </row>
    <row r="2464" spans="1:15" x14ac:dyDescent="0.25">
      <c r="A2464">
        <v>-1583396157</v>
      </c>
      <c r="B2464" t="s">
        <v>1175</v>
      </c>
      <c r="G2464">
        <v>44</v>
      </c>
      <c r="H2464" t="s">
        <v>16</v>
      </c>
      <c r="I2464">
        <v>10.8</v>
      </c>
      <c r="L2464" t="s">
        <v>15</v>
      </c>
      <c r="M2464" t="b">
        <v>0</v>
      </c>
      <c r="O2464" s="1">
        <v>46191.059027777781</v>
      </c>
    </row>
    <row r="2465" spans="1:15" x14ac:dyDescent="0.25">
      <c r="A2465">
        <v>1781724390</v>
      </c>
      <c r="B2465" t="s">
        <v>1176</v>
      </c>
      <c r="C2465" t="s">
        <v>694</v>
      </c>
      <c r="D2465" t="s">
        <v>695</v>
      </c>
      <c r="E2465" t="s">
        <v>313</v>
      </c>
      <c r="F2465">
        <v>50</v>
      </c>
      <c r="K2465" s="1">
        <v>46191.101724537039</v>
      </c>
      <c r="M2465" t="b">
        <v>0</v>
      </c>
      <c r="O2465" s="1">
        <v>46191.101724537039</v>
      </c>
    </row>
    <row r="2466" spans="1:15" x14ac:dyDescent="0.25">
      <c r="A2466">
        <v>-1367625617</v>
      </c>
      <c r="B2466" t="s">
        <v>1176</v>
      </c>
      <c r="G2466">
        <v>41</v>
      </c>
      <c r="H2466" t="s">
        <v>29</v>
      </c>
      <c r="I2466">
        <v>352</v>
      </c>
      <c r="J2466">
        <v>352.9</v>
      </c>
      <c r="L2466" t="s">
        <v>12</v>
      </c>
      <c r="M2466" t="b">
        <v>0</v>
      </c>
      <c r="O2466" s="1">
        <v>46191.101724537039</v>
      </c>
    </row>
    <row r="2467" spans="1:15" x14ac:dyDescent="0.25">
      <c r="A2467">
        <v>-50217596</v>
      </c>
      <c r="B2467" t="s">
        <v>1176</v>
      </c>
      <c r="G2467">
        <v>49</v>
      </c>
      <c r="H2467" t="s">
        <v>181</v>
      </c>
      <c r="I2467">
        <v>23.9</v>
      </c>
      <c r="J2467">
        <v>24</v>
      </c>
      <c r="L2467" t="s">
        <v>12</v>
      </c>
      <c r="M2467" t="b">
        <v>0</v>
      </c>
      <c r="O2467" s="1">
        <v>46191.101724537039</v>
      </c>
    </row>
    <row r="2468" spans="1:15" x14ac:dyDescent="0.25">
      <c r="A2468">
        <v>-695015371</v>
      </c>
      <c r="B2468" t="s">
        <v>1176</v>
      </c>
      <c r="G2468">
        <v>51</v>
      </c>
      <c r="H2468" t="s">
        <v>137</v>
      </c>
      <c r="I2468">
        <v>75.5</v>
      </c>
      <c r="J2468">
        <v>75.8</v>
      </c>
      <c r="L2468" t="s">
        <v>12</v>
      </c>
      <c r="M2468" t="b">
        <v>0</v>
      </c>
      <c r="O2468" s="1">
        <v>46191.101724537039</v>
      </c>
    </row>
    <row r="2469" spans="1:15" x14ac:dyDescent="0.25">
      <c r="A2469">
        <v>1781734990</v>
      </c>
      <c r="B2469" t="s">
        <v>1177</v>
      </c>
      <c r="C2469" t="s">
        <v>825</v>
      </c>
      <c r="D2469" t="s">
        <v>596</v>
      </c>
      <c r="E2469" t="s">
        <v>336</v>
      </c>
      <c r="F2469">
        <v>50</v>
      </c>
      <c r="K2469" s="1">
        <v>46191.224421296298</v>
      </c>
      <c r="M2469" t="b">
        <v>0</v>
      </c>
      <c r="O2469" s="1">
        <v>46191.224421296298</v>
      </c>
    </row>
    <row r="2470" spans="1:15" x14ac:dyDescent="0.25">
      <c r="A2470">
        <v>632711095</v>
      </c>
      <c r="B2470" t="s">
        <v>1177</v>
      </c>
      <c r="G2470">
        <v>41</v>
      </c>
      <c r="H2470" t="s">
        <v>29</v>
      </c>
      <c r="I2470">
        <v>340</v>
      </c>
      <c r="J2470">
        <v>339.6</v>
      </c>
      <c r="L2470" t="s">
        <v>12</v>
      </c>
      <c r="M2470" t="b">
        <v>0</v>
      </c>
      <c r="O2470" s="1">
        <v>46191.224421296298</v>
      </c>
    </row>
    <row r="2471" spans="1:15" x14ac:dyDescent="0.25">
      <c r="A2471">
        <v>486450476</v>
      </c>
      <c r="B2471" t="s">
        <v>1177</v>
      </c>
      <c r="G2471">
        <v>35</v>
      </c>
      <c r="H2471" t="s">
        <v>36</v>
      </c>
      <c r="I2471">
        <v>70</v>
      </c>
      <c r="J2471">
        <v>69.599999999999994</v>
      </c>
      <c r="L2471" t="s">
        <v>12</v>
      </c>
      <c r="M2471" t="b">
        <v>0</v>
      </c>
      <c r="O2471" s="1">
        <v>46191.224421296298</v>
      </c>
    </row>
    <row r="2472" spans="1:15" x14ac:dyDescent="0.25">
      <c r="A2472">
        <v>1344835773</v>
      </c>
      <c r="B2472" t="s">
        <v>1177</v>
      </c>
      <c r="G2472">
        <v>44</v>
      </c>
      <c r="H2472" t="s">
        <v>16</v>
      </c>
      <c r="I2472">
        <v>23.5</v>
      </c>
      <c r="J2472">
        <v>23.7</v>
      </c>
      <c r="L2472" t="s">
        <v>12</v>
      </c>
      <c r="M2472" t="b">
        <v>0</v>
      </c>
      <c r="O2472" s="1">
        <v>46191.224421296298</v>
      </c>
    </row>
    <row r="2473" spans="1:15" x14ac:dyDescent="0.25">
      <c r="A2473">
        <v>1781735674</v>
      </c>
      <c r="B2473" t="s">
        <v>1178</v>
      </c>
      <c r="C2473" t="s">
        <v>345</v>
      </c>
      <c r="D2473" t="s">
        <v>371</v>
      </c>
      <c r="E2473" t="s">
        <v>313</v>
      </c>
      <c r="F2473">
        <v>50</v>
      </c>
      <c r="K2473" s="1">
        <v>46191.23233796296</v>
      </c>
      <c r="M2473" t="b">
        <v>0</v>
      </c>
      <c r="O2473" s="1">
        <v>46191.23233796296</v>
      </c>
    </row>
    <row r="2474" spans="1:15" x14ac:dyDescent="0.25">
      <c r="A2474">
        <v>1998415859</v>
      </c>
      <c r="B2474" t="s">
        <v>1178</v>
      </c>
      <c r="G2474">
        <v>41</v>
      </c>
      <c r="H2474" t="s">
        <v>29</v>
      </c>
      <c r="I2474">
        <v>225</v>
      </c>
      <c r="J2474">
        <v>224.3</v>
      </c>
      <c r="L2474" t="s">
        <v>12</v>
      </c>
      <c r="M2474" t="b">
        <v>0</v>
      </c>
      <c r="O2474" s="1">
        <v>46191.23233796296</v>
      </c>
    </row>
    <row r="2475" spans="1:15" x14ac:dyDescent="0.25">
      <c r="A2475">
        <v>-649095240</v>
      </c>
      <c r="B2475" t="s">
        <v>1178</v>
      </c>
      <c r="G2475">
        <v>35</v>
      </c>
      <c r="H2475" t="s">
        <v>36</v>
      </c>
      <c r="I2475">
        <v>30</v>
      </c>
      <c r="J2475">
        <v>30.4</v>
      </c>
      <c r="L2475" t="s">
        <v>15</v>
      </c>
      <c r="M2475" t="b">
        <v>0</v>
      </c>
      <c r="O2475" s="1">
        <v>46191.23233796296</v>
      </c>
    </row>
    <row r="2476" spans="1:15" x14ac:dyDescent="0.25">
      <c r="A2476">
        <v>189594457</v>
      </c>
      <c r="B2476" t="s">
        <v>1178</v>
      </c>
      <c r="G2476">
        <v>44</v>
      </c>
      <c r="H2476" t="s">
        <v>16</v>
      </c>
      <c r="I2476">
        <v>14</v>
      </c>
      <c r="J2476">
        <v>14.1</v>
      </c>
      <c r="L2476" t="s">
        <v>12</v>
      </c>
      <c r="M2476" t="b">
        <v>0</v>
      </c>
      <c r="O2476" s="1">
        <v>46191.23233796296</v>
      </c>
    </row>
    <row r="2477" spans="1:15" x14ac:dyDescent="0.25">
      <c r="A2477">
        <v>1781745289</v>
      </c>
      <c r="B2477" t="s">
        <v>1179</v>
      </c>
      <c r="C2477" t="s">
        <v>469</v>
      </c>
      <c r="D2477" t="s">
        <v>470</v>
      </c>
      <c r="E2477" t="s">
        <v>313</v>
      </c>
      <c r="F2477">
        <v>250</v>
      </c>
      <c r="K2477" s="1">
        <v>46191.343622685185</v>
      </c>
      <c r="M2477" t="b">
        <v>0</v>
      </c>
      <c r="O2477" s="1">
        <v>46191.343622685185</v>
      </c>
    </row>
    <row r="2478" spans="1:15" x14ac:dyDescent="0.25">
      <c r="A2478">
        <v>1906474006</v>
      </c>
      <c r="B2478" t="s">
        <v>1179</v>
      </c>
      <c r="G2478">
        <v>41</v>
      </c>
      <c r="H2478" t="s">
        <v>29</v>
      </c>
      <c r="I2478">
        <v>1500</v>
      </c>
      <c r="J2478">
        <v>1509.8</v>
      </c>
      <c r="L2478" t="s">
        <v>12</v>
      </c>
      <c r="M2478" t="b">
        <v>0</v>
      </c>
      <c r="O2478" s="1">
        <v>46191.343622685185</v>
      </c>
    </row>
    <row r="2479" spans="1:15" x14ac:dyDescent="0.25">
      <c r="A2479">
        <v>210473951</v>
      </c>
      <c r="B2479" t="s">
        <v>1179</v>
      </c>
      <c r="G2479">
        <v>16</v>
      </c>
      <c r="H2479" t="s">
        <v>13</v>
      </c>
      <c r="I2479">
        <v>25</v>
      </c>
      <c r="J2479">
        <v>24.9</v>
      </c>
      <c r="L2479" t="s">
        <v>12</v>
      </c>
      <c r="M2479" t="b">
        <v>0</v>
      </c>
      <c r="O2479" s="1">
        <v>46191.343622685185</v>
      </c>
    </row>
    <row r="2480" spans="1:15" x14ac:dyDescent="0.25">
      <c r="A2480">
        <v>1781746332</v>
      </c>
      <c r="B2480" t="s">
        <v>1180</v>
      </c>
      <c r="C2480" t="s">
        <v>345</v>
      </c>
      <c r="D2480" t="s">
        <v>346</v>
      </c>
      <c r="E2480" t="s">
        <v>313</v>
      </c>
      <c r="F2480">
        <v>250</v>
      </c>
      <c r="K2480" s="1">
        <v>46191.355694444443</v>
      </c>
      <c r="M2480" t="b">
        <v>0</v>
      </c>
      <c r="O2480" s="1">
        <v>46191.355694444443</v>
      </c>
    </row>
    <row r="2481" spans="1:15" x14ac:dyDescent="0.25">
      <c r="A2481">
        <v>1527530861</v>
      </c>
      <c r="B2481" t="s">
        <v>1180</v>
      </c>
      <c r="G2481">
        <v>41</v>
      </c>
      <c r="H2481" t="s">
        <v>29</v>
      </c>
      <c r="I2481">
        <v>2200</v>
      </c>
      <c r="J2481">
        <v>2204.8000000000002</v>
      </c>
      <c r="L2481" t="s">
        <v>12</v>
      </c>
      <c r="M2481" t="b">
        <v>0</v>
      </c>
      <c r="O2481" s="1">
        <v>46191.355694444443</v>
      </c>
    </row>
    <row r="2482" spans="1:15" x14ac:dyDescent="0.25">
      <c r="A2482">
        <v>29893162</v>
      </c>
      <c r="B2482" t="s">
        <v>1180</v>
      </c>
      <c r="G2482">
        <v>35</v>
      </c>
      <c r="H2482" t="s">
        <v>36</v>
      </c>
      <c r="I2482">
        <v>110</v>
      </c>
      <c r="J2482">
        <v>110.2</v>
      </c>
      <c r="L2482" t="s">
        <v>12</v>
      </c>
      <c r="M2482" t="b">
        <v>0</v>
      </c>
      <c r="O2482" s="1">
        <v>46191.355694444443</v>
      </c>
    </row>
    <row r="2483" spans="1:15" x14ac:dyDescent="0.25">
      <c r="A2483">
        <v>1465892195</v>
      </c>
      <c r="B2483" t="s">
        <v>1180</v>
      </c>
      <c r="G2483">
        <v>11</v>
      </c>
      <c r="H2483" t="s">
        <v>33</v>
      </c>
      <c r="I2483">
        <v>145</v>
      </c>
      <c r="J2483">
        <v>145.9</v>
      </c>
      <c r="L2483" t="s">
        <v>12</v>
      </c>
      <c r="M2483" t="b">
        <v>0</v>
      </c>
      <c r="O2483" s="1">
        <v>46191.355694444443</v>
      </c>
    </row>
    <row r="2484" spans="1:15" x14ac:dyDescent="0.25">
      <c r="A2484">
        <v>944791351</v>
      </c>
      <c r="B2484" t="s">
        <v>1181</v>
      </c>
      <c r="C2484" t="s">
        <v>345</v>
      </c>
      <c r="D2484" t="s">
        <v>371</v>
      </c>
      <c r="E2484" t="s">
        <v>313</v>
      </c>
      <c r="F2484">
        <v>50</v>
      </c>
      <c r="K2484" s="1">
        <v>46217.352164351854</v>
      </c>
      <c r="M2484" t="b">
        <v>0</v>
      </c>
      <c r="O2484" s="1">
        <v>46217.352164351854</v>
      </c>
    </row>
    <row r="2485" spans="1:15" x14ac:dyDescent="0.25">
      <c r="A2485">
        <v>376186540</v>
      </c>
      <c r="B2485" t="s">
        <v>1181</v>
      </c>
      <c r="G2485">
        <v>41</v>
      </c>
      <c r="H2485" t="s">
        <v>29</v>
      </c>
      <c r="I2485">
        <v>225</v>
      </c>
      <c r="J2485">
        <v>224.36</v>
      </c>
      <c r="L2485" t="s">
        <v>12</v>
      </c>
      <c r="M2485" t="b">
        <v>0</v>
      </c>
      <c r="O2485" s="1">
        <v>46217.352164351854</v>
      </c>
    </row>
    <row r="2486" spans="1:15" x14ac:dyDescent="0.25">
      <c r="A2486">
        <v>1791054909</v>
      </c>
      <c r="B2486" t="s">
        <v>1181</v>
      </c>
      <c r="G2486">
        <v>35</v>
      </c>
      <c r="H2486" t="s">
        <v>36</v>
      </c>
      <c r="I2486">
        <v>30</v>
      </c>
      <c r="J2486">
        <v>30.18</v>
      </c>
      <c r="L2486" t="s">
        <v>12</v>
      </c>
      <c r="M2486" t="b">
        <v>0</v>
      </c>
      <c r="O2486" s="1">
        <v>46217.352164351854</v>
      </c>
    </row>
    <row r="2487" spans="1:15" x14ac:dyDescent="0.25">
      <c r="A2487">
        <v>334142650</v>
      </c>
      <c r="B2487" t="s">
        <v>1181</v>
      </c>
      <c r="G2487">
        <v>44</v>
      </c>
      <c r="H2487" t="s">
        <v>16</v>
      </c>
      <c r="I2487">
        <v>14</v>
      </c>
      <c r="J2487">
        <v>14.03</v>
      </c>
      <c r="L2487" t="s">
        <v>12</v>
      </c>
      <c r="M2487" t="b">
        <v>0</v>
      </c>
      <c r="O2487" s="1">
        <v>46217.352164351854</v>
      </c>
    </row>
    <row r="2488" spans="1:15" x14ac:dyDescent="0.25">
      <c r="A2488">
        <v>1781768921</v>
      </c>
      <c r="B2488" t="s">
        <v>1182</v>
      </c>
      <c r="C2488" t="s">
        <v>718</v>
      </c>
      <c r="D2488" t="s">
        <v>719</v>
      </c>
      <c r="E2488" t="s">
        <v>336</v>
      </c>
      <c r="F2488">
        <v>450</v>
      </c>
      <c r="K2488" s="1">
        <v>46191.6171412037</v>
      </c>
      <c r="M2488" t="b">
        <v>0</v>
      </c>
      <c r="O2488" s="1">
        <v>46191.6171412037</v>
      </c>
    </row>
    <row r="2489" spans="1:15" x14ac:dyDescent="0.25">
      <c r="A2489">
        <v>1218614822</v>
      </c>
      <c r="B2489" t="s">
        <v>1182</v>
      </c>
      <c r="G2489">
        <v>41</v>
      </c>
      <c r="H2489" t="s">
        <v>29</v>
      </c>
      <c r="I2489">
        <v>11250</v>
      </c>
      <c r="J2489">
        <v>11251.3</v>
      </c>
      <c r="L2489" t="s">
        <v>12</v>
      </c>
      <c r="M2489" t="b">
        <v>0</v>
      </c>
      <c r="O2489" s="1">
        <v>46191.6171412037</v>
      </c>
    </row>
    <row r="2490" spans="1:15" x14ac:dyDescent="0.25">
      <c r="A2490">
        <v>586844335</v>
      </c>
      <c r="B2490" t="s">
        <v>1182</v>
      </c>
      <c r="G2490">
        <v>16</v>
      </c>
      <c r="H2490" t="s">
        <v>13</v>
      </c>
      <c r="I2490">
        <v>225</v>
      </c>
      <c r="J2490">
        <v>226.3</v>
      </c>
      <c r="L2490" t="s">
        <v>12</v>
      </c>
      <c r="M2490" t="b">
        <v>0</v>
      </c>
      <c r="O2490" s="1">
        <v>46191.6171412037</v>
      </c>
    </row>
    <row r="2491" spans="1:15" x14ac:dyDescent="0.25">
      <c r="A2491">
        <v>1033322692</v>
      </c>
      <c r="B2491" t="s">
        <v>1182</v>
      </c>
      <c r="G2491">
        <v>68</v>
      </c>
      <c r="H2491" t="s">
        <v>14</v>
      </c>
      <c r="I2491">
        <v>45</v>
      </c>
      <c r="J2491">
        <v>45.5</v>
      </c>
      <c r="L2491" t="s">
        <v>15</v>
      </c>
      <c r="M2491" t="b">
        <v>0</v>
      </c>
      <c r="O2491" s="1">
        <v>46191.6171412037</v>
      </c>
    </row>
    <row r="2492" spans="1:15" x14ac:dyDescent="0.25">
      <c r="A2492">
        <v>1781769099</v>
      </c>
      <c r="B2492" t="s">
        <v>1183</v>
      </c>
      <c r="C2492" t="s">
        <v>447</v>
      </c>
      <c r="D2492" t="s">
        <v>448</v>
      </c>
      <c r="E2492" t="s">
        <v>313</v>
      </c>
      <c r="F2492">
        <v>380</v>
      </c>
      <c r="K2492" s="1">
        <v>46191.619189814817</v>
      </c>
      <c r="M2492" t="b">
        <v>0</v>
      </c>
      <c r="O2492" s="1">
        <v>46191.619189814817</v>
      </c>
    </row>
    <row r="2493" spans="1:15" x14ac:dyDescent="0.25">
      <c r="A2493">
        <v>2076352880</v>
      </c>
      <c r="B2493" t="s">
        <v>1183</v>
      </c>
      <c r="G2493">
        <v>41</v>
      </c>
      <c r="H2493" t="s">
        <v>29</v>
      </c>
      <c r="I2493">
        <v>2432</v>
      </c>
      <c r="J2493">
        <v>2432.9</v>
      </c>
      <c r="L2493" t="s">
        <v>12</v>
      </c>
      <c r="M2493" t="b">
        <v>0</v>
      </c>
      <c r="O2493" s="1">
        <v>46191.619189814817</v>
      </c>
    </row>
    <row r="2494" spans="1:15" x14ac:dyDescent="0.25">
      <c r="A2494">
        <v>-901709647</v>
      </c>
      <c r="B2494" t="s">
        <v>1183</v>
      </c>
      <c r="G2494">
        <v>68</v>
      </c>
      <c r="H2494" t="s">
        <v>14</v>
      </c>
      <c r="I2494">
        <v>532</v>
      </c>
      <c r="J2494">
        <v>532.5</v>
      </c>
      <c r="L2494" t="s">
        <v>12</v>
      </c>
      <c r="M2494" t="b">
        <v>0</v>
      </c>
      <c r="O2494" s="1">
        <v>46191.619189814817</v>
      </c>
    </row>
    <row r="2495" spans="1:15" x14ac:dyDescent="0.25">
      <c r="A2495">
        <v>1781770650</v>
      </c>
      <c r="B2495" t="s">
        <v>1184</v>
      </c>
      <c r="C2495" t="s">
        <v>376</v>
      </c>
      <c r="D2495" t="s">
        <v>377</v>
      </c>
      <c r="E2495" t="s">
        <v>340</v>
      </c>
      <c r="F2495">
        <v>450</v>
      </c>
      <c r="K2495" s="1">
        <v>46191.637152777781</v>
      </c>
      <c r="M2495" t="b">
        <v>0</v>
      </c>
      <c r="O2495" s="1">
        <v>46191.637152777781</v>
      </c>
    </row>
    <row r="2496" spans="1:15" x14ac:dyDescent="0.25">
      <c r="A2496">
        <v>-101372909</v>
      </c>
      <c r="B2496" t="s">
        <v>1184</v>
      </c>
      <c r="H2496" t="s">
        <v>29</v>
      </c>
      <c r="I2496">
        <v>972</v>
      </c>
      <c r="J2496">
        <v>972.7</v>
      </c>
      <c r="L2496" t="s">
        <v>12</v>
      </c>
      <c r="M2496" t="b">
        <v>0</v>
      </c>
      <c r="O2496" s="1">
        <v>46191.637152777781</v>
      </c>
    </row>
    <row r="2497" spans="1:15" x14ac:dyDescent="0.25">
      <c r="A2497">
        <v>460443992</v>
      </c>
      <c r="B2497" t="s">
        <v>1184</v>
      </c>
      <c r="G2497">
        <v>58</v>
      </c>
      <c r="H2497" t="s">
        <v>32</v>
      </c>
      <c r="I2497">
        <v>1993.5</v>
      </c>
      <c r="J2497">
        <v>1993.9</v>
      </c>
      <c r="L2497" t="s">
        <v>12</v>
      </c>
      <c r="M2497" t="b">
        <v>0</v>
      </c>
      <c r="O2497" s="1">
        <v>46191.637152777781</v>
      </c>
    </row>
    <row r="2498" spans="1:15" x14ac:dyDescent="0.25">
      <c r="A2498">
        <v>-1290347399</v>
      </c>
      <c r="B2498" t="s">
        <v>1184</v>
      </c>
      <c r="G2498">
        <v>35</v>
      </c>
      <c r="H2498" t="s">
        <v>36</v>
      </c>
      <c r="I2498">
        <v>339.3</v>
      </c>
      <c r="J2498">
        <v>339.4</v>
      </c>
      <c r="L2498" t="s">
        <v>12</v>
      </c>
      <c r="M2498" t="b">
        <v>0</v>
      </c>
      <c r="O2498" s="1">
        <v>46191.637152777781</v>
      </c>
    </row>
    <row r="2499" spans="1:15" x14ac:dyDescent="0.25">
      <c r="A2499">
        <v>-2040957114</v>
      </c>
      <c r="B2499" t="s">
        <v>1184</v>
      </c>
      <c r="G2499">
        <v>16</v>
      </c>
      <c r="H2499" t="s">
        <v>13</v>
      </c>
      <c r="I2499">
        <v>137.69999999999999</v>
      </c>
      <c r="J2499">
        <v>138.80000000000001</v>
      </c>
      <c r="L2499" t="s">
        <v>12</v>
      </c>
      <c r="M2499" t="b">
        <v>0</v>
      </c>
      <c r="O2499" s="1">
        <v>46191.637152777781</v>
      </c>
    </row>
    <row r="2500" spans="1:15" x14ac:dyDescent="0.25">
      <c r="A2500">
        <v>1781777865</v>
      </c>
      <c r="B2500" t="s">
        <v>1185</v>
      </c>
      <c r="C2500" t="s">
        <v>345</v>
      </c>
      <c r="D2500" t="s">
        <v>371</v>
      </c>
      <c r="E2500" t="s">
        <v>313</v>
      </c>
      <c r="F2500">
        <v>50</v>
      </c>
      <c r="K2500" s="1">
        <v>46191.720659722225</v>
      </c>
      <c r="M2500" t="b">
        <v>0</v>
      </c>
      <c r="O2500" s="1">
        <v>46191.720659722225</v>
      </c>
    </row>
    <row r="2501" spans="1:15" x14ac:dyDescent="0.25">
      <c r="A2501">
        <v>1946966614</v>
      </c>
      <c r="B2501" t="s">
        <v>1185</v>
      </c>
      <c r="G2501">
        <v>41</v>
      </c>
      <c r="H2501" t="s">
        <v>29</v>
      </c>
      <c r="I2501">
        <v>285</v>
      </c>
      <c r="J2501">
        <v>286.5</v>
      </c>
      <c r="L2501" t="s">
        <v>12</v>
      </c>
      <c r="M2501" t="b">
        <v>0</v>
      </c>
      <c r="O2501" s="1">
        <v>46191.720659722225</v>
      </c>
    </row>
    <row r="2502" spans="1:15" x14ac:dyDescent="0.25">
      <c r="A2502">
        <v>-422238945</v>
      </c>
      <c r="B2502" t="s">
        <v>1185</v>
      </c>
      <c r="G2502">
        <v>35</v>
      </c>
      <c r="H2502" t="s">
        <v>36</v>
      </c>
      <c r="I2502">
        <v>30</v>
      </c>
      <c r="J2502">
        <v>30.6</v>
      </c>
      <c r="L2502" t="s">
        <v>15</v>
      </c>
      <c r="M2502" t="b">
        <v>0</v>
      </c>
      <c r="O2502" s="1">
        <v>46191.720659722225</v>
      </c>
    </row>
    <row r="2503" spans="1:15" x14ac:dyDescent="0.25">
      <c r="A2503">
        <v>-7249804</v>
      </c>
      <c r="B2503" t="s">
        <v>1185</v>
      </c>
      <c r="G2503">
        <v>44</v>
      </c>
      <c r="H2503" t="s">
        <v>16</v>
      </c>
      <c r="I2503">
        <v>22</v>
      </c>
      <c r="J2503">
        <v>22.2</v>
      </c>
      <c r="L2503" t="s">
        <v>12</v>
      </c>
      <c r="M2503" t="b">
        <v>0</v>
      </c>
      <c r="O2503" s="1">
        <v>46191.720659722225</v>
      </c>
    </row>
    <row r="2504" spans="1:15" x14ac:dyDescent="0.25">
      <c r="A2504">
        <v>1781779720</v>
      </c>
      <c r="B2504" t="s">
        <v>1186</v>
      </c>
      <c r="C2504" t="s">
        <v>376</v>
      </c>
      <c r="D2504" t="s">
        <v>377</v>
      </c>
      <c r="E2504" t="s">
        <v>340</v>
      </c>
      <c r="F2504">
        <v>450</v>
      </c>
      <c r="K2504" s="1">
        <v>46191.742118055554</v>
      </c>
      <c r="M2504" t="b">
        <v>0</v>
      </c>
      <c r="O2504" s="1">
        <v>46191.742118055554</v>
      </c>
    </row>
    <row r="2505" spans="1:15" x14ac:dyDescent="0.25">
      <c r="A2505">
        <v>1330657897</v>
      </c>
      <c r="B2505" t="s">
        <v>1186</v>
      </c>
      <c r="G2505">
        <v>41</v>
      </c>
      <c r="H2505" t="s">
        <v>29</v>
      </c>
      <c r="I2505">
        <v>1080</v>
      </c>
      <c r="J2505">
        <v>1080.4000000000001</v>
      </c>
      <c r="L2505" t="s">
        <v>12</v>
      </c>
      <c r="M2505" t="b">
        <v>0</v>
      </c>
      <c r="O2505" s="1">
        <v>46191.742118055554</v>
      </c>
    </row>
    <row r="2506" spans="1:15" x14ac:dyDescent="0.25">
      <c r="A2506">
        <v>1389664886</v>
      </c>
      <c r="B2506" t="s">
        <v>1186</v>
      </c>
      <c r="G2506">
        <v>58</v>
      </c>
      <c r="H2506" t="s">
        <v>32</v>
      </c>
      <c r="I2506">
        <v>2200</v>
      </c>
      <c r="J2506">
        <v>2202.1</v>
      </c>
      <c r="L2506" t="s">
        <v>12</v>
      </c>
      <c r="M2506" t="b">
        <v>0</v>
      </c>
      <c r="O2506" s="1">
        <v>46191.742118055554</v>
      </c>
    </row>
    <row r="2507" spans="1:15" x14ac:dyDescent="0.25">
      <c r="A2507">
        <v>1638214335</v>
      </c>
      <c r="B2507" t="s">
        <v>1186</v>
      </c>
      <c r="G2507">
        <v>35</v>
      </c>
      <c r="H2507" t="s">
        <v>36</v>
      </c>
      <c r="I2507">
        <v>280</v>
      </c>
      <c r="J2507">
        <v>280.39999999999998</v>
      </c>
      <c r="L2507" t="s">
        <v>12</v>
      </c>
      <c r="M2507" t="b">
        <v>0</v>
      </c>
      <c r="O2507" s="1">
        <v>46191.742118055554</v>
      </c>
    </row>
    <row r="2508" spans="1:15" x14ac:dyDescent="0.25">
      <c r="A2508">
        <v>-1020256876</v>
      </c>
      <c r="B2508" t="s">
        <v>1186</v>
      </c>
      <c r="G2508">
        <v>16</v>
      </c>
      <c r="H2508" t="s">
        <v>13</v>
      </c>
      <c r="I2508">
        <v>150</v>
      </c>
      <c r="J2508">
        <v>151.19999999999999</v>
      </c>
      <c r="L2508" t="s">
        <v>12</v>
      </c>
      <c r="M2508" t="b">
        <v>0</v>
      </c>
      <c r="O2508" s="1">
        <v>46191.742118055554</v>
      </c>
    </row>
    <row r="2509" spans="1:15" x14ac:dyDescent="0.25">
      <c r="A2509">
        <v>-893127737</v>
      </c>
      <c r="B2509" t="s">
        <v>1187</v>
      </c>
      <c r="C2509" t="s">
        <v>783</v>
      </c>
      <c r="D2509" t="s">
        <v>1188</v>
      </c>
      <c r="E2509" t="s">
        <v>336</v>
      </c>
      <c r="F2509">
        <v>15</v>
      </c>
      <c r="K2509" s="1">
        <v>46217.583194444444</v>
      </c>
      <c r="M2509" t="b">
        <v>0</v>
      </c>
      <c r="O2509" s="1">
        <v>46217.583194444444</v>
      </c>
    </row>
    <row r="2510" spans="1:15" x14ac:dyDescent="0.25">
      <c r="A2510">
        <v>3580924</v>
      </c>
      <c r="B2510" t="s">
        <v>1187</v>
      </c>
      <c r="G2510">
        <v>41</v>
      </c>
      <c r="H2510" t="s">
        <v>29</v>
      </c>
      <c r="I2510">
        <v>180</v>
      </c>
      <c r="J2510">
        <v>181.01</v>
      </c>
      <c r="L2510" t="s">
        <v>12</v>
      </c>
      <c r="M2510" t="b">
        <v>0</v>
      </c>
      <c r="O2510" s="1">
        <v>46217.583194444444</v>
      </c>
    </row>
    <row r="2511" spans="1:15" x14ac:dyDescent="0.25">
      <c r="A2511">
        <v>871316301</v>
      </c>
      <c r="B2511" t="s">
        <v>1187</v>
      </c>
      <c r="G2511">
        <v>51</v>
      </c>
      <c r="H2511" t="s">
        <v>137</v>
      </c>
      <c r="I2511">
        <v>12</v>
      </c>
      <c r="J2511">
        <v>12.09</v>
      </c>
      <c r="L2511" t="s">
        <v>12</v>
      </c>
      <c r="M2511" t="b">
        <v>0</v>
      </c>
      <c r="O2511" s="1">
        <v>46217.583194444444</v>
      </c>
    </row>
    <row r="2512" spans="1:15" x14ac:dyDescent="0.25">
      <c r="A2512">
        <v>580164234</v>
      </c>
      <c r="B2512" t="s">
        <v>1187</v>
      </c>
      <c r="G2512">
        <v>62</v>
      </c>
      <c r="H2512" t="s">
        <v>150</v>
      </c>
      <c r="I2512">
        <v>4.5</v>
      </c>
      <c r="J2512">
        <v>4.5</v>
      </c>
      <c r="L2512" t="s">
        <v>12</v>
      </c>
      <c r="M2512" t="b">
        <v>0</v>
      </c>
      <c r="O2512" s="1">
        <v>46217.583194444444</v>
      </c>
    </row>
    <row r="2513" spans="1:15" x14ac:dyDescent="0.25">
      <c r="A2513">
        <v>1781783297</v>
      </c>
      <c r="B2513" t="s">
        <v>1189</v>
      </c>
      <c r="C2513" t="s">
        <v>376</v>
      </c>
      <c r="D2513" t="s">
        <v>377</v>
      </c>
      <c r="E2513" t="s">
        <v>340</v>
      </c>
      <c r="F2513">
        <v>450</v>
      </c>
      <c r="K2513" s="1">
        <v>46191.783530092594</v>
      </c>
      <c r="M2513" t="b">
        <v>0</v>
      </c>
      <c r="O2513" s="1">
        <v>46191.783530092594</v>
      </c>
    </row>
    <row r="2514" spans="1:15" x14ac:dyDescent="0.25">
      <c r="A2514">
        <v>-1121950418</v>
      </c>
      <c r="B2514" t="s">
        <v>1189</v>
      </c>
      <c r="G2514">
        <v>41</v>
      </c>
      <c r="H2514" t="s">
        <v>29</v>
      </c>
      <c r="I2514">
        <v>1000</v>
      </c>
      <c r="J2514">
        <v>1000.4</v>
      </c>
      <c r="L2514" t="s">
        <v>12</v>
      </c>
      <c r="M2514" t="b">
        <v>0</v>
      </c>
      <c r="O2514" s="1">
        <v>46191.783530092594</v>
      </c>
    </row>
    <row r="2515" spans="1:15" x14ac:dyDescent="0.25">
      <c r="A2515">
        <v>1058610455</v>
      </c>
      <c r="B2515" t="s">
        <v>1189</v>
      </c>
      <c r="G2515">
        <v>58</v>
      </c>
      <c r="H2515" t="s">
        <v>32</v>
      </c>
      <c r="I2515">
        <v>2200</v>
      </c>
      <c r="J2515">
        <v>2205.1999999999998</v>
      </c>
      <c r="L2515" t="s">
        <v>12</v>
      </c>
      <c r="M2515" t="b">
        <v>0</v>
      </c>
      <c r="O2515" s="1">
        <v>46191.783530092594</v>
      </c>
    </row>
    <row r="2516" spans="1:15" x14ac:dyDescent="0.25">
      <c r="A2516">
        <v>-1169373428</v>
      </c>
      <c r="B2516" t="s">
        <v>1189</v>
      </c>
      <c r="G2516">
        <v>35</v>
      </c>
      <c r="H2516" t="s">
        <v>36</v>
      </c>
      <c r="I2516">
        <v>200</v>
      </c>
      <c r="J2516">
        <v>200.6</v>
      </c>
      <c r="L2516" t="s">
        <v>12</v>
      </c>
      <c r="M2516" t="b">
        <v>0</v>
      </c>
      <c r="O2516" s="1">
        <v>46191.783530092594</v>
      </c>
    </row>
    <row r="2517" spans="1:15" x14ac:dyDescent="0.25">
      <c r="A2517">
        <v>1096008989</v>
      </c>
      <c r="B2517" t="s">
        <v>1189</v>
      </c>
      <c r="G2517">
        <v>16</v>
      </c>
      <c r="H2517" t="s">
        <v>13</v>
      </c>
      <c r="I2517">
        <v>150</v>
      </c>
      <c r="J2517">
        <v>149</v>
      </c>
      <c r="L2517" t="s">
        <v>12</v>
      </c>
      <c r="M2517" t="b">
        <v>0</v>
      </c>
      <c r="O2517" s="1">
        <v>46191.783530092594</v>
      </c>
    </row>
    <row r="2518" spans="1:15" x14ac:dyDescent="0.25">
      <c r="A2518">
        <v>1781800352</v>
      </c>
      <c r="B2518" t="s">
        <v>1190</v>
      </c>
      <c r="C2518" t="s">
        <v>653</v>
      </c>
      <c r="D2518" t="s">
        <v>654</v>
      </c>
      <c r="E2518" t="s">
        <v>340</v>
      </c>
      <c r="F2518">
        <v>260</v>
      </c>
      <c r="K2518" s="1">
        <v>46191.980925925927</v>
      </c>
      <c r="M2518" t="b">
        <v>0</v>
      </c>
      <c r="O2518" s="1">
        <v>46191.980925925927</v>
      </c>
    </row>
    <row r="2519" spans="1:15" x14ac:dyDescent="0.25">
      <c r="A2519">
        <v>-976816863</v>
      </c>
      <c r="B2519" t="s">
        <v>1190</v>
      </c>
      <c r="G2519">
        <v>41</v>
      </c>
      <c r="H2519" t="s">
        <v>29</v>
      </c>
      <c r="I2519">
        <v>3770</v>
      </c>
      <c r="J2519">
        <v>3772</v>
      </c>
      <c r="L2519" t="s">
        <v>12</v>
      </c>
      <c r="M2519" t="b">
        <v>0</v>
      </c>
      <c r="O2519" s="1">
        <v>46191.980925925927</v>
      </c>
    </row>
    <row r="2520" spans="1:15" x14ac:dyDescent="0.25">
      <c r="A2520">
        <v>1781800576</v>
      </c>
      <c r="B2520" t="s">
        <v>1191</v>
      </c>
      <c r="C2520" t="s">
        <v>865</v>
      </c>
      <c r="D2520">
        <v>867</v>
      </c>
      <c r="E2520" t="s">
        <v>313</v>
      </c>
      <c r="F2520">
        <v>50</v>
      </c>
      <c r="K2520" s="1">
        <v>46191.983518518522</v>
      </c>
      <c r="M2520" t="b">
        <v>0</v>
      </c>
      <c r="O2520" s="1">
        <v>46191.983518518522</v>
      </c>
    </row>
    <row r="2521" spans="1:15" x14ac:dyDescent="0.25">
      <c r="A2521">
        <v>-1634706303</v>
      </c>
      <c r="B2521" t="s">
        <v>1191</v>
      </c>
      <c r="G2521">
        <v>41</v>
      </c>
      <c r="H2521" t="s">
        <v>29</v>
      </c>
      <c r="I2521">
        <v>825</v>
      </c>
      <c r="J2521">
        <v>825.1</v>
      </c>
      <c r="L2521" t="s">
        <v>12</v>
      </c>
      <c r="M2521" t="b">
        <v>0</v>
      </c>
      <c r="O2521" s="1">
        <v>46191.983518518522</v>
      </c>
    </row>
    <row r="2522" spans="1:15" x14ac:dyDescent="0.25">
      <c r="A2522">
        <v>-306435922</v>
      </c>
      <c r="B2522" t="s">
        <v>1191</v>
      </c>
      <c r="G2522">
        <v>47</v>
      </c>
      <c r="H2522" t="s">
        <v>21</v>
      </c>
      <c r="I2522">
        <v>265</v>
      </c>
      <c r="J2522">
        <v>266.7</v>
      </c>
      <c r="L2522" t="s">
        <v>12</v>
      </c>
      <c r="M2522" t="b">
        <v>0</v>
      </c>
      <c r="O2522" s="1">
        <v>46191.983518518522</v>
      </c>
    </row>
    <row r="2523" spans="1:15" x14ac:dyDescent="0.25">
      <c r="A2523">
        <v>471825047</v>
      </c>
      <c r="B2523" t="s">
        <v>1191</v>
      </c>
      <c r="G2523">
        <v>4</v>
      </c>
      <c r="H2523" t="s">
        <v>27</v>
      </c>
      <c r="I2523">
        <v>240</v>
      </c>
      <c r="J2523">
        <v>241.8</v>
      </c>
      <c r="L2523" t="s">
        <v>12</v>
      </c>
      <c r="M2523" t="b">
        <v>0</v>
      </c>
      <c r="O2523" s="1">
        <v>46191.983518518522</v>
      </c>
    </row>
    <row r="2524" spans="1:15" x14ac:dyDescent="0.25">
      <c r="A2524">
        <v>1781807658</v>
      </c>
      <c r="B2524" t="s">
        <v>1192</v>
      </c>
      <c r="C2524" t="s">
        <v>865</v>
      </c>
      <c r="D2524">
        <v>867</v>
      </c>
      <c r="E2524" t="s">
        <v>313</v>
      </c>
      <c r="F2524">
        <v>50</v>
      </c>
      <c r="K2524" s="1">
        <v>46192.065486111111</v>
      </c>
      <c r="M2524" t="b">
        <v>0</v>
      </c>
      <c r="O2524" s="1">
        <v>46192.065486111111</v>
      </c>
    </row>
    <row r="2525" spans="1:15" x14ac:dyDescent="0.25">
      <c r="A2525">
        <v>-806357661</v>
      </c>
      <c r="B2525" t="s">
        <v>1192</v>
      </c>
      <c r="G2525">
        <v>41</v>
      </c>
      <c r="H2525" t="s">
        <v>29</v>
      </c>
      <c r="I2525">
        <v>830</v>
      </c>
      <c r="J2525">
        <v>830.2</v>
      </c>
      <c r="L2525" t="s">
        <v>12</v>
      </c>
      <c r="M2525" t="b">
        <v>0</v>
      </c>
      <c r="O2525" s="1">
        <v>46192.065486111111</v>
      </c>
    </row>
    <row r="2526" spans="1:15" x14ac:dyDescent="0.25">
      <c r="A2526">
        <v>-849013656</v>
      </c>
      <c r="B2526" t="s">
        <v>1192</v>
      </c>
      <c r="G2526">
        <v>47</v>
      </c>
      <c r="H2526" t="s">
        <v>21</v>
      </c>
      <c r="I2526">
        <v>300</v>
      </c>
      <c r="J2526">
        <v>299.2</v>
      </c>
      <c r="L2526" t="s">
        <v>12</v>
      </c>
      <c r="M2526" t="b">
        <v>0</v>
      </c>
      <c r="O2526" s="1">
        <v>46192.065486111111</v>
      </c>
    </row>
    <row r="2527" spans="1:15" x14ac:dyDescent="0.25">
      <c r="A2527">
        <v>-48626103</v>
      </c>
      <c r="B2527" t="s">
        <v>1192</v>
      </c>
      <c r="G2527">
        <v>4</v>
      </c>
      <c r="H2527" t="s">
        <v>27</v>
      </c>
      <c r="I2527">
        <v>100</v>
      </c>
      <c r="J2527">
        <v>100.2</v>
      </c>
      <c r="L2527" t="s">
        <v>12</v>
      </c>
      <c r="M2527" t="b">
        <v>0</v>
      </c>
      <c r="O2527" s="1">
        <v>46192.065486111111</v>
      </c>
    </row>
    <row r="2528" spans="1:15" x14ac:dyDescent="0.25">
      <c r="A2528">
        <v>1781826882</v>
      </c>
      <c r="B2528" t="s">
        <v>1193</v>
      </c>
      <c r="C2528" t="s">
        <v>469</v>
      </c>
      <c r="D2528" t="s">
        <v>470</v>
      </c>
      <c r="E2528" t="s">
        <v>340</v>
      </c>
      <c r="F2528">
        <v>120</v>
      </c>
      <c r="K2528" s="1">
        <v>46192.287986111114</v>
      </c>
      <c r="M2528" t="b">
        <v>0</v>
      </c>
      <c r="O2528" s="1">
        <v>46192.287986111114</v>
      </c>
    </row>
    <row r="2529" spans="1:15" x14ac:dyDescent="0.25">
      <c r="A2529">
        <v>1635039387</v>
      </c>
      <c r="B2529" t="s">
        <v>1193</v>
      </c>
      <c r="G2529">
        <v>41</v>
      </c>
      <c r="H2529" t="s">
        <v>29</v>
      </c>
      <c r="I2529">
        <v>720</v>
      </c>
      <c r="J2529">
        <v>720.8</v>
      </c>
      <c r="L2529" t="s">
        <v>12</v>
      </c>
      <c r="M2529" t="b">
        <v>0</v>
      </c>
      <c r="O2529" s="1">
        <v>46192.287986111114</v>
      </c>
    </row>
    <row r="2530" spans="1:15" x14ac:dyDescent="0.25">
      <c r="A2530">
        <v>1595913536</v>
      </c>
      <c r="B2530" t="s">
        <v>1193</v>
      </c>
      <c r="G2530">
        <v>16</v>
      </c>
      <c r="H2530" t="s">
        <v>13</v>
      </c>
      <c r="I2530">
        <v>12</v>
      </c>
      <c r="J2530">
        <v>12.3</v>
      </c>
      <c r="L2530" t="s">
        <v>15</v>
      </c>
      <c r="M2530" t="b">
        <v>0</v>
      </c>
      <c r="O2530" s="1">
        <v>46192.287986111114</v>
      </c>
    </row>
    <row r="2531" spans="1:15" x14ac:dyDescent="0.25">
      <c r="A2531">
        <v>1781829124</v>
      </c>
      <c r="B2531" t="s">
        <v>1194</v>
      </c>
      <c r="C2531" t="s">
        <v>525</v>
      </c>
      <c r="D2531" t="s">
        <v>526</v>
      </c>
      <c r="E2531" t="s">
        <v>336</v>
      </c>
      <c r="F2531">
        <v>50</v>
      </c>
      <c r="K2531" s="1">
        <v>46192.313935185186</v>
      </c>
      <c r="M2531" t="b">
        <v>0</v>
      </c>
      <c r="O2531" s="1">
        <v>46192.313935185186</v>
      </c>
    </row>
    <row r="2532" spans="1:15" x14ac:dyDescent="0.25">
      <c r="A2532">
        <v>1339330229</v>
      </c>
      <c r="B2532" t="s">
        <v>1194</v>
      </c>
      <c r="G2532">
        <v>41</v>
      </c>
      <c r="H2532" t="s">
        <v>29</v>
      </c>
      <c r="I2532">
        <v>1335</v>
      </c>
      <c r="J2532">
        <v>1331.4</v>
      </c>
      <c r="L2532" t="s">
        <v>12</v>
      </c>
      <c r="M2532" t="b">
        <v>0</v>
      </c>
      <c r="O2532" s="1">
        <v>46192.313935185186</v>
      </c>
    </row>
    <row r="2533" spans="1:15" x14ac:dyDescent="0.25">
      <c r="A2533">
        <v>-455887918</v>
      </c>
      <c r="B2533" t="s">
        <v>1194</v>
      </c>
      <c r="G2533">
        <v>4</v>
      </c>
      <c r="H2533" t="s">
        <v>27</v>
      </c>
      <c r="I2533">
        <v>400</v>
      </c>
      <c r="J2533">
        <v>401.2</v>
      </c>
      <c r="L2533" t="s">
        <v>12</v>
      </c>
      <c r="M2533" t="b">
        <v>0</v>
      </c>
      <c r="O2533" s="1">
        <v>46192.313935185186</v>
      </c>
    </row>
    <row r="2534" spans="1:15" x14ac:dyDescent="0.25">
      <c r="A2534">
        <v>1781833886</v>
      </c>
      <c r="B2534" t="s">
        <v>1195</v>
      </c>
      <c r="C2534" t="s">
        <v>356</v>
      </c>
      <c r="D2534" t="s">
        <v>224</v>
      </c>
      <c r="E2534" t="s">
        <v>336</v>
      </c>
      <c r="F2534">
        <v>100</v>
      </c>
      <c r="K2534" s="1">
        <v>46192.369050925925</v>
      </c>
      <c r="M2534" t="b">
        <v>0</v>
      </c>
      <c r="O2534" s="1">
        <v>46192.369050925925</v>
      </c>
    </row>
    <row r="2535" spans="1:15" x14ac:dyDescent="0.25">
      <c r="A2535">
        <v>-2062667833</v>
      </c>
      <c r="B2535" t="s">
        <v>1195</v>
      </c>
      <c r="G2535">
        <v>41</v>
      </c>
      <c r="H2535" t="s">
        <v>29</v>
      </c>
      <c r="I2535">
        <v>1627</v>
      </c>
      <c r="J2535">
        <v>1641.5</v>
      </c>
      <c r="L2535" t="s">
        <v>12</v>
      </c>
      <c r="M2535" t="b">
        <v>0</v>
      </c>
      <c r="O2535" s="1">
        <v>46192.369050925925</v>
      </c>
    </row>
    <row r="2536" spans="1:15" x14ac:dyDescent="0.25">
      <c r="A2536">
        <v>1898655740</v>
      </c>
      <c r="B2536" t="s">
        <v>1195</v>
      </c>
      <c r="G2536">
        <v>35</v>
      </c>
      <c r="H2536" t="s">
        <v>36</v>
      </c>
      <c r="I2536">
        <v>236.4</v>
      </c>
      <c r="J2536">
        <v>237.5</v>
      </c>
      <c r="L2536" t="s">
        <v>12</v>
      </c>
      <c r="M2536" t="b">
        <v>0</v>
      </c>
      <c r="O2536" s="1">
        <v>46192.369050925925</v>
      </c>
    </row>
    <row r="2537" spans="1:15" x14ac:dyDescent="0.25">
      <c r="A2537">
        <v>-994846899</v>
      </c>
      <c r="B2537" t="s">
        <v>1195</v>
      </c>
      <c r="G2537">
        <v>16</v>
      </c>
      <c r="H2537" t="s">
        <v>13</v>
      </c>
      <c r="I2537">
        <v>217</v>
      </c>
      <c r="J2537">
        <v>217.3</v>
      </c>
      <c r="L2537" t="s">
        <v>12</v>
      </c>
      <c r="M2537" t="b">
        <v>0</v>
      </c>
      <c r="O2537" s="1">
        <v>46192.369050925925</v>
      </c>
    </row>
    <row r="2538" spans="1:15" x14ac:dyDescent="0.25">
      <c r="A2538">
        <v>1781836811</v>
      </c>
      <c r="B2538" t="s">
        <v>1196</v>
      </c>
      <c r="C2538" t="s">
        <v>430</v>
      </c>
      <c r="D2538" t="s">
        <v>1051</v>
      </c>
      <c r="E2538" t="s">
        <v>313</v>
      </c>
      <c r="F2538">
        <v>50</v>
      </c>
      <c r="K2538" s="1">
        <v>46192.402905092589</v>
      </c>
      <c r="M2538" t="b">
        <v>0</v>
      </c>
      <c r="O2538" s="1">
        <v>46192.402905092589</v>
      </c>
    </row>
    <row r="2539" spans="1:15" x14ac:dyDescent="0.25">
      <c r="A2539">
        <v>160702448</v>
      </c>
      <c r="B2539" t="s">
        <v>1196</v>
      </c>
      <c r="G2539">
        <v>41</v>
      </c>
      <c r="H2539" t="s">
        <v>29</v>
      </c>
      <c r="I2539">
        <v>160</v>
      </c>
      <c r="J2539">
        <v>160</v>
      </c>
      <c r="L2539" t="s">
        <v>12</v>
      </c>
      <c r="M2539" t="b">
        <v>0</v>
      </c>
      <c r="O2539" s="1">
        <v>46192.402905092589</v>
      </c>
    </row>
    <row r="2540" spans="1:15" x14ac:dyDescent="0.25">
      <c r="A2540">
        <v>263929137</v>
      </c>
      <c r="B2540" t="s">
        <v>1196</v>
      </c>
      <c r="G2540">
        <v>35</v>
      </c>
      <c r="H2540" t="s">
        <v>36</v>
      </c>
      <c r="I2540">
        <v>55</v>
      </c>
      <c r="J2540">
        <v>56.1</v>
      </c>
      <c r="L2540" t="s">
        <v>15</v>
      </c>
      <c r="M2540" t="b">
        <v>0</v>
      </c>
      <c r="O2540" s="1">
        <v>46192.402905092589</v>
      </c>
    </row>
    <row r="2541" spans="1:15" x14ac:dyDescent="0.25">
      <c r="A2541">
        <v>337889182</v>
      </c>
      <c r="B2541" t="s">
        <v>1196</v>
      </c>
      <c r="G2541">
        <v>44</v>
      </c>
      <c r="H2541" t="s">
        <v>16</v>
      </c>
      <c r="I2541">
        <v>3.4</v>
      </c>
      <c r="J2541">
        <v>4.4000000000000004</v>
      </c>
      <c r="L2541" t="s">
        <v>15</v>
      </c>
      <c r="M2541" t="b">
        <v>0</v>
      </c>
      <c r="O2541" s="1">
        <v>46192.402905092589</v>
      </c>
    </row>
    <row r="2542" spans="1:15" x14ac:dyDescent="0.25">
      <c r="A2542">
        <v>1781844285</v>
      </c>
      <c r="B2542" t="s">
        <v>1197</v>
      </c>
      <c r="C2542" t="s">
        <v>430</v>
      </c>
      <c r="D2542" t="s">
        <v>1051</v>
      </c>
      <c r="E2542" t="s">
        <v>313</v>
      </c>
      <c r="F2542">
        <v>50</v>
      </c>
      <c r="K2542" s="1">
        <v>46192.48940972222</v>
      </c>
      <c r="M2542" t="b">
        <v>0</v>
      </c>
      <c r="O2542" s="1">
        <v>46192.48940972222</v>
      </c>
    </row>
    <row r="2543" spans="1:15" x14ac:dyDescent="0.25">
      <c r="A2543">
        <v>-162255430</v>
      </c>
      <c r="B2543" t="s">
        <v>1197</v>
      </c>
      <c r="G2543">
        <v>41</v>
      </c>
      <c r="H2543" t="s">
        <v>29</v>
      </c>
      <c r="I2543">
        <v>160</v>
      </c>
      <c r="J2543">
        <v>159.9</v>
      </c>
      <c r="L2543" t="s">
        <v>12</v>
      </c>
      <c r="M2543" t="b">
        <v>0</v>
      </c>
      <c r="O2543" s="1">
        <v>46192.48940972222</v>
      </c>
    </row>
    <row r="2544" spans="1:15" x14ac:dyDescent="0.25">
      <c r="A2544">
        <v>979445171</v>
      </c>
      <c r="B2544" t="s">
        <v>1197</v>
      </c>
      <c r="G2544">
        <v>35</v>
      </c>
      <c r="H2544" t="s">
        <v>36</v>
      </c>
      <c r="I2544">
        <v>55</v>
      </c>
      <c r="J2544">
        <v>55.3</v>
      </c>
      <c r="L2544" t="s">
        <v>12</v>
      </c>
      <c r="M2544" t="b">
        <v>0</v>
      </c>
      <c r="O2544" s="1">
        <v>46192.48940972222</v>
      </c>
    </row>
    <row r="2545" spans="1:15" x14ac:dyDescent="0.25">
      <c r="A2545">
        <v>-1196264840</v>
      </c>
      <c r="B2545" t="s">
        <v>1197</v>
      </c>
      <c r="G2545">
        <v>44</v>
      </c>
      <c r="H2545" t="s">
        <v>16</v>
      </c>
      <c r="I2545">
        <v>3.4</v>
      </c>
      <c r="J2545">
        <v>4.5999999999999996</v>
      </c>
      <c r="L2545" t="s">
        <v>15</v>
      </c>
      <c r="M2545" t="b">
        <v>0</v>
      </c>
      <c r="O2545" s="1">
        <v>46192.48940972222</v>
      </c>
    </row>
  </sheetData>
  <sortState ref="A2:M938">
    <sortCondition ref="H1:H938"/>
  </sortState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Form">
                <anchor moveWithCells="1" sizeWithCells="1">
                  <from>
                    <xdr:col>15</xdr:col>
                    <xdr:colOff>9525</xdr:colOff>
                    <xdr:row>0</xdr:row>
                    <xdr:rowOff>19050</xdr:rowOff>
                  </from>
                  <to>
                    <xdr:col>15</xdr:col>
                    <xdr:colOff>1009650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90"/>
  <sheetViews>
    <sheetView workbookViewId="0">
      <selection activeCell="D33" sqref="D33"/>
    </sheetView>
  </sheetViews>
  <sheetFormatPr defaultRowHeight="15" x14ac:dyDescent="0.25"/>
  <cols>
    <col min="1" max="1" width="10.7109375" customWidth="1"/>
    <col min="2" max="2" width="17.28515625" customWidth="1"/>
    <col min="3" max="3" width="11.140625" customWidth="1"/>
  </cols>
  <sheetData>
    <row r="1" spans="1:2" x14ac:dyDescent="0.25">
      <c r="A1" t="s">
        <v>24</v>
      </c>
      <c r="B1" t="s">
        <v>25</v>
      </c>
    </row>
    <row r="2" spans="1:2" x14ac:dyDescent="0.25">
      <c r="B2">
        <v>0</v>
      </c>
    </row>
    <row r="3" spans="1:2" x14ac:dyDescent="0.25">
      <c r="B3">
        <v>100</v>
      </c>
    </row>
    <row r="4" spans="1:2" x14ac:dyDescent="0.25">
      <c r="A4">
        <v>0</v>
      </c>
      <c r="B4">
        <v>17</v>
      </c>
    </row>
    <row r="5" spans="1:2" x14ac:dyDescent="0.25">
      <c r="A5">
        <v>550</v>
      </c>
      <c r="B5">
        <v>3457.5</v>
      </c>
    </row>
    <row r="6" spans="1:2" x14ac:dyDescent="0.25">
      <c r="A6" t="s">
        <v>292</v>
      </c>
      <c r="B6">
        <v>12</v>
      </c>
    </row>
    <row r="7" spans="1:2" x14ac:dyDescent="0.25">
      <c r="A7" t="s">
        <v>246</v>
      </c>
      <c r="B7">
        <v>1.3</v>
      </c>
    </row>
    <row r="8" spans="1:2" x14ac:dyDescent="0.25">
      <c r="A8">
        <v>11</v>
      </c>
      <c r="B8">
        <v>0</v>
      </c>
    </row>
    <row r="9" spans="1:2" x14ac:dyDescent="0.25">
      <c r="A9">
        <v>150</v>
      </c>
      <c r="B9">
        <v>60</v>
      </c>
    </row>
    <row r="10" spans="1:2" x14ac:dyDescent="0.25">
      <c r="A10">
        <v>2</v>
      </c>
      <c r="B10">
        <v>0</v>
      </c>
    </row>
    <row r="11" spans="1:2" x14ac:dyDescent="0.25">
      <c r="A11">
        <v>3</v>
      </c>
      <c r="B11">
        <v>2</v>
      </c>
    </row>
    <row r="12" spans="1:2" x14ac:dyDescent="0.25">
      <c r="A12">
        <v>35</v>
      </c>
      <c r="B12">
        <v>3</v>
      </c>
    </row>
    <row r="13" spans="1:2" x14ac:dyDescent="0.25">
      <c r="A13">
        <v>40</v>
      </c>
      <c r="B13">
        <v>0</v>
      </c>
    </row>
    <row r="14" spans="1:2" x14ac:dyDescent="0.25">
      <c r="A14">
        <v>4067.5</v>
      </c>
      <c r="B14">
        <v>35</v>
      </c>
    </row>
    <row r="15" spans="1:2" x14ac:dyDescent="0.25">
      <c r="A15">
        <v>41</v>
      </c>
      <c r="B15">
        <v>0</v>
      </c>
    </row>
    <row r="16" spans="1:2" x14ac:dyDescent="0.25">
      <c r="A16">
        <v>42</v>
      </c>
      <c r="B16">
        <v>0</v>
      </c>
    </row>
    <row r="17" spans="1:2" x14ac:dyDescent="0.25">
      <c r="A17">
        <v>44</v>
      </c>
      <c r="B17">
        <v>0</v>
      </c>
    </row>
    <row r="18" spans="1:2" x14ac:dyDescent="0.25">
      <c r="A18">
        <v>47</v>
      </c>
      <c r="B18">
        <v>0</v>
      </c>
    </row>
    <row r="19" spans="1:2" x14ac:dyDescent="0.25">
      <c r="A19">
        <v>500</v>
      </c>
      <c r="B19">
        <v>7</v>
      </c>
    </row>
    <row r="20" spans="1:2" x14ac:dyDescent="0.25">
      <c r="A20">
        <v>57</v>
      </c>
      <c r="B20">
        <v>0</v>
      </c>
    </row>
    <row r="21" spans="1:2" x14ac:dyDescent="0.25">
      <c r="A21">
        <v>58</v>
      </c>
      <c r="B21">
        <v>0</v>
      </c>
    </row>
    <row r="22" spans="1:2" x14ac:dyDescent="0.25">
      <c r="A22">
        <v>59</v>
      </c>
      <c r="B22">
        <v>0</v>
      </c>
    </row>
    <row r="23" spans="1:2" x14ac:dyDescent="0.25">
      <c r="A23">
        <v>591</v>
      </c>
      <c r="B23">
        <v>16</v>
      </c>
    </row>
    <row r="24" spans="1:2" x14ac:dyDescent="0.25">
      <c r="A24">
        <v>60</v>
      </c>
      <c r="B24">
        <v>16</v>
      </c>
    </row>
    <row r="25" spans="1:2" x14ac:dyDescent="0.25">
      <c r="A25">
        <v>68</v>
      </c>
      <c r="B25">
        <v>0</v>
      </c>
    </row>
    <row r="26" spans="1:2" x14ac:dyDescent="0.25">
      <c r="A26">
        <v>83</v>
      </c>
      <c r="B26">
        <v>0</v>
      </c>
    </row>
    <row r="27" spans="1:2" x14ac:dyDescent="0.25">
      <c r="A27" t="s">
        <v>273</v>
      </c>
      <c r="B27">
        <v>3280</v>
      </c>
    </row>
    <row r="28" spans="1:2" x14ac:dyDescent="0.25">
      <c r="A28" t="s">
        <v>274</v>
      </c>
      <c r="B28">
        <v>2715</v>
      </c>
    </row>
    <row r="29" spans="1:2" x14ac:dyDescent="0.25">
      <c r="A29" t="s">
        <v>303</v>
      </c>
      <c r="B29">
        <v>300</v>
      </c>
    </row>
    <row r="30" spans="1:2" x14ac:dyDescent="0.25">
      <c r="A30" t="s">
        <v>275</v>
      </c>
      <c r="B30">
        <v>5000</v>
      </c>
    </row>
    <row r="31" spans="1:2" x14ac:dyDescent="0.25">
      <c r="A31" t="s">
        <v>276</v>
      </c>
      <c r="B31">
        <v>150</v>
      </c>
    </row>
    <row r="32" spans="1:2" x14ac:dyDescent="0.25">
      <c r="A32" t="s">
        <v>277</v>
      </c>
      <c r="B32">
        <v>250</v>
      </c>
    </row>
    <row r="33" spans="1:2" x14ac:dyDescent="0.25">
      <c r="A33" t="s">
        <v>247</v>
      </c>
      <c r="B33">
        <v>7.5</v>
      </c>
    </row>
    <row r="34" spans="1:2" x14ac:dyDescent="0.25">
      <c r="A34" t="s">
        <v>26</v>
      </c>
      <c r="B34">
        <v>214.40250000000009</v>
      </c>
    </row>
    <row r="35" spans="1:2" x14ac:dyDescent="0.25">
      <c r="A35" t="s">
        <v>161</v>
      </c>
      <c r="B35">
        <v>50868.055</v>
      </c>
    </row>
    <row r="36" spans="1:2" x14ac:dyDescent="0.25">
      <c r="A36" t="s">
        <v>171</v>
      </c>
      <c r="B36">
        <v>52979.12999999999</v>
      </c>
    </row>
    <row r="37" spans="1:2" x14ac:dyDescent="0.25">
      <c r="A37" t="s">
        <v>124</v>
      </c>
      <c r="B37">
        <v>797486.47649999836</v>
      </c>
    </row>
    <row r="38" spans="1:2" x14ac:dyDescent="0.25">
      <c r="A38" t="s">
        <v>293</v>
      </c>
      <c r="B38">
        <v>22</v>
      </c>
    </row>
    <row r="39" spans="1:2" x14ac:dyDescent="0.25">
      <c r="A39" t="s">
        <v>176</v>
      </c>
      <c r="B39">
        <v>526.83999999999992</v>
      </c>
    </row>
    <row r="40" spans="1:2" x14ac:dyDescent="0.25">
      <c r="A40" t="s">
        <v>158</v>
      </c>
      <c r="B40">
        <v>58143.070000000036</v>
      </c>
    </row>
    <row r="41" spans="1:2" x14ac:dyDescent="0.25">
      <c r="A41" t="s">
        <v>154</v>
      </c>
      <c r="B41">
        <v>67404.940999999992</v>
      </c>
    </row>
    <row r="42" spans="1:2" x14ac:dyDescent="0.25">
      <c r="A42" t="s">
        <v>132</v>
      </c>
      <c r="B42">
        <v>199821.5254999999</v>
      </c>
    </row>
    <row r="43" spans="1:2" x14ac:dyDescent="0.25">
      <c r="A43" t="s">
        <v>304</v>
      </c>
      <c r="B43">
        <v>132.6</v>
      </c>
    </row>
    <row r="44" spans="1:2" x14ac:dyDescent="0.25">
      <c r="A44" t="s">
        <v>160</v>
      </c>
      <c r="B44">
        <v>50005.664500000028</v>
      </c>
    </row>
    <row r="45" spans="1:2" x14ac:dyDescent="0.25">
      <c r="A45" t="s">
        <v>248</v>
      </c>
      <c r="B45">
        <v>962.88</v>
      </c>
    </row>
    <row r="46" spans="1:2" x14ac:dyDescent="0.25">
      <c r="A46" t="s">
        <v>153</v>
      </c>
      <c r="B46">
        <v>25698.529999999988</v>
      </c>
    </row>
    <row r="47" spans="1:2" x14ac:dyDescent="0.25">
      <c r="A47" t="s">
        <v>142</v>
      </c>
      <c r="B47">
        <v>94471.987000000066</v>
      </c>
    </row>
    <row r="48" spans="1:2" x14ac:dyDescent="0.25">
      <c r="A48" t="s">
        <v>278</v>
      </c>
      <c r="B48">
        <v>117.48</v>
      </c>
    </row>
    <row r="49" spans="1:2" x14ac:dyDescent="0.25">
      <c r="A49" t="s">
        <v>279</v>
      </c>
      <c r="B49">
        <v>816</v>
      </c>
    </row>
    <row r="50" spans="1:2" x14ac:dyDescent="0.25">
      <c r="A50" t="s">
        <v>157</v>
      </c>
      <c r="B50">
        <v>70345.449000000008</v>
      </c>
    </row>
    <row r="51" spans="1:2" x14ac:dyDescent="0.25">
      <c r="A51" t="s">
        <v>144</v>
      </c>
      <c r="B51">
        <v>196109.27199999988</v>
      </c>
    </row>
    <row r="52" spans="1:2" x14ac:dyDescent="0.25">
      <c r="A52" t="s">
        <v>280</v>
      </c>
      <c r="B52">
        <v>265</v>
      </c>
    </row>
    <row r="53" spans="1:2" x14ac:dyDescent="0.25">
      <c r="A53" t="s">
        <v>249</v>
      </c>
      <c r="B53">
        <v>934.87119999999993</v>
      </c>
    </row>
    <row r="54" spans="1:2" x14ac:dyDescent="0.25">
      <c r="A54" t="s">
        <v>193</v>
      </c>
      <c r="B54">
        <v>14361.960500000007</v>
      </c>
    </row>
    <row r="55" spans="1:2" x14ac:dyDescent="0.25">
      <c r="A55" t="s">
        <v>187</v>
      </c>
      <c r="B55">
        <v>401.64999999999981</v>
      </c>
    </row>
    <row r="56" spans="1:2" x14ac:dyDescent="0.25">
      <c r="A56" t="s">
        <v>281</v>
      </c>
      <c r="B56">
        <v>116.6</v>
      </c>
    </row>
    <row r="57" spans="1:2" x14ac:dyDescent="0.25">
      <c r="A57" t="s">
        <v>186</v>
      </c>
      <c r="B57">
        <v>69103.48</v>
      </c>
    </row>
    <row r="58" spans="1:2" x14ac:dyDescent="0.25">
      <c r="A58" t="s">
        <v>156</v>
      </c>
      <c r="B58">
        <v>4629.7699999999995</v>
      </c>
    </row>
    <row r="59" spans="1:2" x14ac:dyDescent="0.25">
      <c r="A59" t="s">
        <v>139</v>
      </c>
      <c r="B59">
        <v>111431.49399999995</v>
      </c>
    </row>
    <row r="60" spans="1:2" x14ac:dyDescent="0.25">
      <c r="A60" t="s">
        <v>282</v>
      </c>
      <c r="B60">
        <v>121.35</v>
      </c>
    </row>
    <row r="61" spans="1:2" x14ac:dyDescent="0.25">
      <c r="A61" t="s">
        <v>27</v>
      </c>
      <c r="B61">
        <v>327292.30499999988</v>
      </c>
    </row>
    <row r="62" spans="1:2" x14ac:dyDescent="0.25">
      <c r="A62" t="s">
        <v>134</v>
      </c>
      <c r="B62">
        <v>312903.84500000009</v>
      </c>
    </row>
    <row r="63" spans="1:2" x14ac:dyDescent="0.25">
      <c r="A63" t="s">
        <v>184</v>
      </c>
      <c r="B63">
        <v>53.434999999999995</v>
      </c>
    </row>
    <row r="64" spans="1:2" x14ac:dyDescent="0.25">
      <c r="A64" t="s">
        <v>28</v>
      </c>
      <c r="B64">
        <v>2287.0340000000001</v>
      </c>
    </row>
    <row r="65" spans="1:2" x14ac:dyDescent="0.25">
      <c r="A65" t="s">
        <v>183</v>
      </c>
      <c r="B65">
        <v>2683.6420000000016</v>
      </c>
    </row>
    <row r="66" spans="1:2" x14ac:dyDescent="0.25">
      <c r="A66" t="s">
        <v>195</v>
      </c>
      <c r="B66">
        <v>491.48999999999961</v>
      </c>
    </row>
    <row r="67" spans="1:2" x14ac:dyDescent="0.25">
      <c r="A67" t="s">
        <v>305</v>
      </c>
      <c r="B67">
        <v>129.6</v>
      </c>
    </row>
    <row r="68" spans="1:2" x14ac:dyDescent="0.25">
      <c r="A68" t="s">
        <v>250</v>
      </c>
      <c r="B68">
        <v>7862.5</v>
      </c>
    </row>
    <row r="69" spans="1:2" x14ac:dyDescent="0.25">
      <c r="A69" t="s">
        <v>168</v>
      </c>
      <c r="B69">
        <v>151.69699999999992</v>
      </c>
    </row>
    <row r="70" spans="1:2" x14ac:dyDescent="0.25">
      <c r="A70" t="s">
        <v>294</v>
      </c>
      <c r="B70">
        <v>800</v>
      </c>
    </row>
    <row r="71" spans="1:2" x14ac:dyDescent="0.25">
      <c r="A71" t="s">
        <v>295</v>
      </c>
      <c r="B71">
        <v>490</v>
      </c>
    </row>
    <row r="72" spans="1:2" x14ac:dyDescent="0.25">
      <c r="A72" t="s">
        <v>29</v>
      </c>
      <c r="B72">
        <v>4376007.59</v>
      </c>
    </row>
    <row r="73" spans="1:2" x14ac:dyDescent="0.25">
      <c r="A73" t="s">
        <v>181</v>
      </c>
      <c r="B73">
        <v>12334.439999999995</v>
      </c>
    </row>
    <row r="74" spans="1:2" x14ac:dyDescent="0.25">
      <c r="A74" t="s">
        <v>173</v>
      </c>
      <c r="B74">
        <v>172455.25000000003</v>
      </c>
    </row>
    <row r="75" spans="1:2" x14ac:dyDescent="0.25">
      <c r="A75" t="s">
        <v>30</v>
      </c>
      <c r="B75">
        <v>1638247.2700000003</v>
      </c>
    </row>
    <row r="76" spans="1:2" x14ac:dyDescent="0.25">
      <c r="A76" t="s">
        <v>296</v>
      </c>
      <c r="B76">
        <v>445.45</v>
      </c>
    </row>
    <row r="77" spans="1:2" x14ac:dyDescent="0.25">
      <c r="A77" t="s">
        <v>306</v>
      </c>
      <c r="B77">
        <v>33.4</v>
      </c>
    </row>
    <row r="78" spans="1:2" x14ac:dyDescent="0.25">
      <c r="A78" t="s">
        <v>31</v>
      </c>
      <c r="B78">
        <v>25958.100000000002</v>
      </c>
    </row>
    <row r="79" spans="1:2" x14ac:dyDescent="0.25">
      <c r="A79" t="s">
        <v>32</v>
      </c>
      <c r="B79">
        <v>1091027.42</v>
      </c>
    </row>
    <row r="80" spans="1:2" x14ac:dyDescent="0.25">
      <c r="A80" t="s">
        <v>201</v>
      </c>
      <c r="B80">
        <v>559.5</v>
      </c>
    </row>
    <row r="81" spans="1:2" x14ac:dyDescent="0.25">
      <c r="A81" t="s">
        <v>127</v>
      </c>
      <c r="B81">
        <v>315469.63599999988</v>
      </c>
    </row>
    <row r="82" spans="1:2" x14ac:dyDescent="0.25">
      <c r="A82" t="s">
        <v>200</v>
      </c>
      <c r="B82">
        <v>16249.620000000003</v>
      </c>
    </row>
    <row r="83" spans="1:2" x14ac:dyDescent="0.25">
      <c r="A83" t="s">
        <v>283</v>
      </c>
      <c r="B83">
        <v>7.5</v>
      </c>
    </row>
    <row r="84" spans="1:2" x14ac:dyDescent="0.25">
      <c r="A84" t="s">
        <v>17</v>
      </c>
      <c r="B84">
        <v>308401.78350000002</v>
      </c>
    </row>
    <row r="85" spans="1:2" x14ac:dyDescent="0.25">
      <c r="A85" t="s">
        <v>251</v>
      </c>
      <c r="B85">
        <v>10189.669999999996</v>
      </c>
    </row>
    <row r="86" spans="1:2" x14ac:dyDescent="0.25">
      <c r="A86" t="s">
        <v>143</v>
      </c>
      <c r="B86">
        <v>67135.22</v>
      </c>
    </row>
    <row r="87" spans="1:2" x14ac:dyDescent="0.25">
      <c r="A87" t="s">
        <v>141</v>
      </c>
      <c r="B87">
        <v>84906.256000000023</v>
      </c>
    </row>
    <row r="88" spans="1:2" x14ac:dyDescent="0.25">
      <c r="A88" t="s">
        <v>307</v>
      </c>
      <c r="B88">
        <v>3.5</v>
      </c>
    </row>
    <row r="89" spans="1:2" x14ac:dyDescent="0.25">
      <c r="A89" t="s">
        <v>13</v>
      </c>
      <c r="B89">
        <v>347711.39499999979</v>
      </c>
    </row>
    <row r="90" spans="1:2" x14ac:dyDescent="0.25">
      <c r="A90" t="s">
        <v>308</v>
      </c>
      <c r="B90">
        <v>137</v>
      </c>
    </row>
    <row r="91" spans="1:2" x14ac:dyDescent="0.25">
      <c r="A91" t="s">
        <v>165</v>
      </c>
      <c r="B91">
        <v>36833.017999999982</v>
      </c>
    </row>
    <row r="92" spans="1:2" x14ac:dyDescent="0.25">
      <c r="A92" t="s">
        <v>252</v>
      </c>
      <c r="B92">
        <v>2622.3</v>
      </c>
    </row>
    <row r="93" spans="1:2" x14ac:dyDescent="0.25">
      <c r="A93" t="s">
        <v>309</v>
      </c>
      <c r="B93">
        <v>0</v>
      </c>
    </row>
    <row r="94" spans="1:2" x14ac:dyDescent="0.25">
      <c r="A94" t="s">
        <v>297</v>
      </c>
      <c r="B94">
        <v>0</v>
      </c>
    </row>
    <row r="95" spans="1:2" x14ac:dyDescent="0.25">
      <c r="A95" t="s">
        <v>298</v>
      </c>
      <c r="B95">
        <v>0</v>
      </c>
    </row>
    <row r="96" spans="1:2" x14ac:dyDescent="0.25">
      <c r="A96" t="s">
        <v>310</v>
      </c>
      <c r="B96">
        <v>3.3</v>
      </c>
    </row>
    <row r="97" spans="1:2" x14ac:dyDescent="0.25">
      <c r="A97" t="s">
        <v>253</v>
      </c>
      <c r="B97">
        <v>185</v>
      </c>
    </row>
    <row r="98" spans="1:2" x14ac:dyDescent="0.25">
      <c r="A98" t="s">
        <v>197</v>
      </c>
      <c r="B98">
        <v>28024.849999999991</v>
      </c>
    </row>
    <row r="99" spans="1:2" x14ac:dyDescent="0.25">
      <c r="A99" t="s">
        <v>130</v>
      </c>
      <c r="B99">
        <v>132071.79700000002</v>
      </c>
    </row>
    <row r="100" spans="1:2" x14ac:dyDescent="0.25">
      <c r="A100" t="s">
        <v>254</v>
      </c>
      <c r="B100">
        <v>1102.8</v>
      </c>
    </row>
    <row r="101" spans="1:2" x14ac:dyDescent="0.25">
      <c r="A101" t="s">
        <v>284</v>
      </c>
      <c r="B101">
        <v>30.67</v>
      </c>
    </row>
    <row r="102" spans="1:2" x14ac:dyDescent="0.25">
      <c r="A102" t="s">
        <v>299</v>
      </c>
      <c r="B102">
        <v>855</v>
      </c>
    </row>
    <row r="103" spans="1:2" x14ac:dyDescent="0.25">
      <c r="A103" t="s">
        <v>145</v>
      </c>
      <c r="B103">
        <v>349.20750000000021</v>
      </c>
    </row>
    <row r="104" spans="1:2" x14ac:dyDescent="0.25">
      <c r="A104" t="s">
        <v>172</v>
      </c>
      <c r="B104">
        <v>9117.8700000000026</v>
      </c>
    </row>
    <row r="105" spans="1:2" x14ac:dyDescent="0.25">
      <c r="A105" t="s">
        <v>147</v>
      </c>
      <c r="B105">
        <v>25348.868999999984</v>
      </c>
    </row>
    <row r="106" spans="1:2" x14ac:dyDescent="0.25">
      <c r="A106" t="s">
        <v>255</v>
      </c>
      <c r="B106">
        <v>183</v>
      </c>
    </row>
    <row r="107" spans="1:2" x14ac:dyDescent="0.25">
      <c r="A107" t="s">
        <v>245</v>
      </c>
      <c r="B107">
        <v>16235.114999999998</v>
      </c>
    </row>
    <row r="108" spans="1:2" x14ac:dyDescent="0.25">
      <c r="A108" t="s">
        <v>285</v>
      </c>
      <c r="B108">
        <v>410.30000000000007</v>
      </c>
    </row>
    <row r="109" spans="1:2" x14ac:dyDescent="0.25">
      <c r="A109" t="s">
        <v>256</v>
      </c>
      <c r="B109">
        <v>228.63</v>
      </c>
    </row>
    <row r="110" spans="1:2" x14ac:dyDescent="0.25">
      <c r="A110" t="s">
        <v>23</v>
      </c>
      <c r="B110">
        <v>335155.86199999991</v>
      </c>
    </row>
    <row r="111" spans="1:2" x14ac:dyDescent="0.25">
      <c r="A111" t="s">
        <v>257</v>
      </c>
      <c r="B111">
        <v>9.4099999999999984</v>
      </c>
    </row>
    <row r="112" spans="1:2" x14ac:dyDescent="0.25">
      <c r="A112" t="s">
        <v>311</v>
      </c>
      <c r="B112">
        <v>10.35</v>
      </c>
    </row>
    <row r="113" spans="1:2" x14ac:dyDescent="0.25">
      <c r="A113" t="s">
        <v>150</v>
      </c>
      <c r="B113">
        <v>104232.74500000007</v>
      </c>
    </row>
    <row r="114" spans="1:2" x14ac:dyDescent="0.25">
      <c r="A114" t="s">
        <v>33</v>
      </c>
      <c r="B114">
        <v>103965.96000000011</v>
      </c>
    </row>
    <row r="115" spans="1:2" x14ac:dyDescent="0.25">
      <c r="A115" t="s">
        <v>182</v>
      </c>
      <c r="B115">
        <v>5503.8590000000049</v>
      </c>
    </row>
    <row r="116" spans="1:2" x14ac:dyDescent="0.25">
      <c r="A116" t="s">
        <v>258</v>
      </c>
      <c r="B116">
        <v>8973.9599999999991</v>
      </c>
    </row>
    <row r="117" spans="1:2" x14ac:dyDescent="0.25">
      <c r="A117" t="s">
        <v>185</v>
      </c>
      <c r="B117">
        <v>5175.5250000000005</v>
      </c>
    </row>
    <row r="118" spans="1:2" x14ac:dyDescent="0.25">
      <c r="A118" t="s">
        <v>169</v>
      </c>
      <c r="B118">
        <v>2338.0650000000005</v>
      </c>
    </row>
    <row r="119" spans="1:2" x14ac:dyDescent="0.25">
      <c r="A119" t="s">
        <v>312</v>
      </c>
      <c r="B119">
        <v>114.5</v>
      </c>
    </row>
    <row r="120" spans="1:2" x14ac:dyDescent="0.25">
      <c r="A120" t="s">
        <v>163</v>
      </c>
      <c r="B120">
        <v>21113.87000000001</v>
      </c>
    </row>
    <row r="121" spans="1:2" x14ac:dyDescent="0.25">
      <c r="A121" t="s">
        <v>149</v>
      </c>
      <c r="B121">
        <v>15039.044499999996</v>
      </c>
    </row>
    <row r="122" spans="1:2" x14ac:dyDescent="0.25">
      <c r="A122" t="s">
        <v>177</v>
      </c>
      <c r="B122">
        <v>7907.8799999999983</v>
      </c>
    </row>
    <row r="123" spans="1:2" x14ac:dyDescent="0.25">
      <c r="A123" t="s">
        <v>155</v>
      </c>
      <c r="B123">
        <v>149979.65999999995</v>
      </c>
    </row>
    <row r="124" spans="1:2" x14ac:dyDescent="0.25">
      <c r="A124" t="s">
        <v>16</v>
      </c>
      <c r="B124">
        <v>299367.19249999954</v>
      </c>
    </row>
    <row r="125" spans="1:2" x14ac:dyDescent="0.25">
      <c r="A125" t="s">
        <v>126</v>
      </c>
      <c r="B125">
        <v>387431.88699999958</v>
      </c>
    </row>
    <row r="126" spans="1:2" x14ac:dyDescent="0.25">
      <c r="A126" t="s">
        <v>166</v>
      </c>
      <c r="B126">
        <v>27217.135000000002</v>
      </c>
    </row>
    <row r="127" spans="1:2" x14ac:dyDescent="0.25">
      <c r="A127" t="s">
        <v>125</v>
      </c>
      <c r="B127">
        <v>261268.011</v>
      </c>
    </row>
    <row r="128" spans="1:2" x14ac:dyDescent="0.25">
      <c r="A128" t="s">
        <v>146</v>
      </c>
      <c r="B128">
        <v>472082.26000000007</v>
      </c>
    </row>
    <row r="129" spans="1:2" x14ac:dyDescent="0.25">
      <c r="A129" t="s">
        <v>259</v>
      </c>
      <c r="B129">
        <v>82.5</v>
      </c>
    </row>
    <row r="130" spans="1:2" x14ac:dyDescent="0.25">
      <c r="A130" t="s">
        <v>22</v>
      </c>
      <c r="B130">
        <v>233886.21200000015</v>
      </c>
    </row>
    <row r="131" spans="1:2" x14ac:dyDescent="0.25">
      <c r="A131" t="s">
        <v>21</v>
      </c>
      <c r="B131">
        <v>105542.65000000005</v>
      </c>
    </row>
    <row r="132" spans="1:2" x14ac:dyDescent="0.25">
      <c r="A132" t="s">
        <v>151</v>
      </c>
      <c r="B132">
        <v>257977.07499999984</v>
      </c>
    </row>
    <row r="133" spans="1:2" x14ac:dyDescent="0.25">
      <c r="A133" t="s">
        <v>164</v>
      </c>
      <c r="B133">
        <v>46285.600000000006</v>
      </c>
    </row>
    <row r="134" spans="1:2" x14ac:dyDescent="0.25">
      <c r="A134" t="s">
        <v>178</v>
      </c>
      <c r="B134">
        <v>3617.1300000000006</v>
      </c>
    </row>
    <row r="135" spans="1:2" x14ac:dyDescent="0.25">
      <c r="A135" t="s">
        <v>190</v>
      </c>
      <c r="B135">
        <v>117.57000000000001</v>
      </c>
    </row>
    <row r="136" spans="1:2" x14ac:dyDescent="0.25">
      <c r="A136" t="s">
        <v>202</v>
      </c>
      <c r="B136">
        <v>21.860000000000003</v>
      </c>
    </row>
    <row r="137" spans="1:2" x14ac:dyDescent="0.25">
      <c r="A137" t="s">
        <v>286</v>
      </c>
      <c r="B137">
        <v>26.669999999999998</v>
      </c>
    </row>
    <row r="138" spans="1:2" x14ac:dyDescent="0.25">
      <c r="A138" t="s">
        <v>34</v>
      </c>
      <c r="B138">
        <v>20012.829999999987</v>
      </c>
    </row>
    <row r="139" spans="1:2" x14ac:dyDescent="0.25">
      <c r="A139" t="s">
        <v>260</v>
      </c>
      <c r="B139">
        <v>1465.5299999999997</v>
      </c>
    </row>
    <row r="140" spans="1:2" x14ac:dyDescent="0.25">
      <c r="A140" t="s">
        <v>196</v>
      </c>
      <c r="B140">
        <v>2156.9900000000011</v>
      </c>
    </row>
    <row r="141" spans="1:2" x14ac:dyDescent="0.25">
      <c r="A141" t="s">
        <v>159</v>
      </c>
      <c r="B141">
        <v>21918.7</v>
      </c>
    </row>
    <row r="142" spans="1:2" x14ac:dyDescent="0.25">
      <c r="A142" t="s">
        <v>261</v>
      </c>
      <c r="B142">
        <v>3579.4</v>
      </c>
    </row>
    <row r="143" spans="1:2" x14ac:dyDescent="0.25">
      <c r="A143" t="s">
        <v>262</v>
      </c>
      <c r="B143">
        <v>588.36</v>
      </c>
    </row>
    <row r="144" spans="1:2" x14ac:dyDescent="0.25">
      <c r="A144" t="s">
        <v>191</v>
      </c>
      <c r="B144">
        <v>188.59000000000003</v>
      </c>
    </row>
    <row r="145" spans="1:2" x14ac:dyDescent="0.25">
      <c r="A145" t="s">
        <v>287</v>
      </c>
      <c r="B145">
        <v>3.6</v>
      </c>
    </row>
    <row r="146" spans="1:2" x14ac:dyDescent="0.25">
      <c r="A146" t="s">
        <v>263</v>
      </c>
      <c r="B146">
        <v>27</v>
      </c>
    </row>
    <row r="147" spans="1:2" x14ac:dyDescent="0.25">
      <c r="A147" t="s">
        <v>179</v>
      </c>
      <c r="B147">
        <v>2286.8169999999991</v>
      </c>
    </row>
    <row r="148" spans="1:2" x14ac:dyDescent="0.25">
      <c r="A148" t="s">
        <v>170</v>
      </c>
      <c r="B148">
        <v>1392.4619999999998</v>
      </c>
    </row>
    <row r="149" spans="1:2" x14ac:dyDescent="0.25">
      <c r="A149" t="s">
        <v>264</v>
      </c>
      <c r="B149">
        <v>253</v>
      </c>
    </row>
    <row r="150" spans="1:2" x14ac:dyDescent="0.25">
      <c r="A150" t="s">
        <v>129</v>
      </c>
      <c r="B150">
        <v>73401.824999999939</v>
      </c>
    </row>
    <row r="151" spans="1:2" x14ac:dyDescent="0.25">
      <c r="A151" t="s">
        <v>300</v>
      </c>
      <c r="B151">
        <v>0.05</v>
      </c>
    </row>
    <row r="152" spans="1:2" x14ac:dyDescent="0.25">
      <c r="A152" t="s">
        <v>265</v>
      </c>
      <c r="B152">
        <v>93.685999999999979</v>
      </c>
    </row>
    <row r="153" spans="1:2" x14ac:dyDescent="0.25">
      <c r="A153" t="s">
        <v>288</v>
      </c>
      <c r="B153">
        <v>0</v>
      </c>
    </row>
    <row r="154" spans="1:2" x14ac:dyDescent="0.25">
      <c r="A154" t="s">
        <v>313</v>
      </c>
      <c r="B154">
        <v>15</v>
      </c>
    </row>
    <row r="155" spans="1:2" x14ac:dyDescent="0.25">
      <c r="A155" t="s">
        <v>35</v>
      </c>
      <c r="B155">
        <v>101297.97999999998</v>
      </c>
    </row>
    <row r="156" spans="1:2" x14ac:dyDescent="0.25">
      <c r="A156" t="s">
        <v>266</v>
      </c>
      <c r="B156">
        <v>48346</v>
      </c>
    </row>
    <row r="157" spans="1:2" x14ac:dyDescent="0.25">
      <c r="A157" t="s">
        <v>314</v>
      </c>
      <c r="B157">
        <v>25</v>
      </c>
    </row>
    <row r="158" spans="1:2" x14ac:dyDescent="0.25">
      <c r="A158" t="s">
        <v>140</v>
      </c>
      <c r="B158">
        <v>64910.53999999995</v>
      </c>
    </row>
    <row r="159" spans="1:2" x14ac:dyDescent="0.25">
      <c r="A159" t="s">
        <v>188</v>
      </c>
      <c r="B159">
        <v>5920.2200000000021</v>
      </c>
    </row>
    <row r="160" spans="1:2" x14ac:dyDescent="0.25">
      <c r="A160" t="s">
        <v>162</v>
      </c>
      <c r="B160">
        <v>20634.814999999999</v>
      </c>
    </row>
    <row r="161" spans="1:2" x14ac:dyDescent="0.25">
      <c r="A161" t="s">
        <v>136</v>
      </c>
      <c r="B161">
        <v>48559.993000000017</v>
      </c>
    </row>
    <row r="162" spans="1:2" x14ac:dyDescent="0.25">
      <c r="A162" t="s">
        <v>148</v>
      </c>
      <c r="B162">
        <v>36126.539999999994</v>
      </c>
    </row>
    <row r="163" spans="1:2" x14ac:dyDescent="0.25">
      <c r="A163" t="s">
        <v>135</v>
      </c>
      <c r="B163">
        <v>134009.76399999988</v>
      </c>
    </row>
    <row r="164" spans="1:2" x14ac:dyDescent="0.25">
      <c r="A164" t="s">
        <v>133</v>
      </c>
      <c r="B164">
        <v>173884.65700000006</v>
      </c>
    </row>
    <row r="165" spans="1:2" x14ac:dyDescent="0.25">
      <c r="A165" t="s">
        <v>152</v>
      </c>
      <c r="B165">
        <v>19910.61700000002</v>
      </c>
    </row>
    <row r="166" spans="1:2" x14ac:dyDescent="0.25">
      <c r="A166" t="s">
        <v>194</v>
      </c>
      <c r="B166">
        <v>1721.98</v>
      </c>
    </row>
    <row r="167" spans="1:2" x14ac:dyDescent="0.25">
      <c r="A167" t="s">
        <v>175</v>
      </c>
      <c r="B167">
        <v>18951.519999999997</v>
      </c>
    </row>
    <row r="168" spans="1:2" x14ac:dyDescent="0.25">
      <c r="A168" t="s">
        <v>138</v>
      </c>
      <c r="B168">
        <v>494.3600000000003</v>
      </c>
    </row>
    <row r="169" spans="1:2" x14ac:dyDescent="0.25">
      <c r="A169" t="s">
        <v>174</v>
      </c>
      <c r="B169">
        <v>27086.929999999997</v>
      </c>
    </row>
    <row r="170" spans="1:2" x14ac:dyDescent="0.25">
      <c r="A170" t="s">
        <v>289</v>
      </c>
      <c r="B170">
        <v>225</v>
      </c>
    </row>
    <row r="171" spans="1:2" x14ac:dyDescent="0.25">
      <c r="A171" t="s">
        <v>14</v>
      </c>
      <c r="B171">
        <v>215802.95000000019</v>
      </c>
    </row>
    <row r="172" spans="1:2" x14ac:dyDescent="0.25">
      <c r="A172" t="s">
        <v>137</v>
      </c>
      <c r="B172">
        <v>30297.194000000018</v>
      </c>
    </row>
    <row r="173" spans="1:2" x14ac:dyDescent="0.25">
      <c r="A173" t="s">
        <v>167</v>
      </c>
      <c r="B173">
        <v>16090.584999999999</v>
      </c>
    </row>
    <row r="174" spans="1:2" x14ac:dyDescent="0.25">
      <c r="A174" t="s">
        <v>18</v>
      </c>
      <c r="B174">
        <v>345246.4098999991</v>
      </c>
    </row>
    <row r="175" spans="1:2" x14ac:dyDescent="0.25">
      <c r="A175" t="s">
        <v>36</v>
      </c>
      <c r="B175">
        <v>528961.02249999973</v>
      </c>
    </row>
    <row r="176" spans="1:2" x14ac:dyDescent="0.25">
      <c r="A176" t="s">
        <v>128</v>
      </c>
      <c r="B176">
        <v>246158.1180000001</v>
      </c>
    </row>
    <row r="177" spans="1:2" x14ac:dyDescent="0.25">
      <c r="A177" t="s">
        <v>131</v>
      </c>
      <c r="B177">
        <v>185256.76299999986</v>
      </c>
    </row>
    <row r="178" spans="1:2" x14ac:dyDescent="0.25">
      <c r="A178" t="s">
        <v>199</v>
      </c>
      <c r="B178">
        <v>142.62</v>
      </c>
    </row>
    <row r="179" spans="1:2" x14ac:dyDescent="0.25">
      <c r="A179" t="s">
        <v>290</v>
      </c>
      <c r="B179">
        <v>45.400000000000006</v>
      </c>
    </row>
    <row r="180" spans="1:2" x14ac:dyDescent="0.25">
      <c r="A180" t="s">
        <v>301</v>
      </c>
      <c r="B180">
        <v>415.13</v>
      </c>
    </row>
    <row r="181" spans="1:2" x14ac:dyDescent="0.25">
      <c r="A181" t="s">
        <v>198</v>
      </c>
      <c r="B181">
        <v>1837.4099999999996</v>
      </c>
    </row>
    <row r="182" spans="1:2" x14ac:dyDescent="0.25">
      <c r="A182" t="s">
        <v>37</v>
      </c>
      <c r="B182">
        <v>23697.96000000001</v>
      </c>
    </row>
    <row r="183" spans="1:2" x14ac:dyDescent="0.25">
      <c r="A183" t="s">
        <v>267</v>
      </c>
      <c r="B183">
        <v>36</v>
      </c>
    </row>
    <row r="184" spans="1:2" x14ac:dyDescent="0.25">
      <c r="A184" t="s">
        <v>268</v>
      </c>
      <c r="B184">
        <v>1647.77</v>
      </c>
    </row>
    <row r="185" spans="1:2" x14ac:dyDescent="0.25">
      <c r="A185" t="s">
        <v>302</v>
      </c>
      <c r="B185">
        <v>439.20000000000005</v>
      </c>
    </row>
    <row r="186" spans="1:2" x14ac:dyDescent="0.25">
      <c r="A186" t="s">
        <v>180</v>
      </c>
      <c r="B186">
        <v>1946.6199999999997</v>
      </c>
    </row>
    <row r="187" spans="1:2" x14ac:dyDescent="0.25">
      <c r="A187" t="s">
        <v>189</v>
      </c>
      <c r="B187">
        <v>334.35000000000008</v>
      </c>
    </row>
    <row r="188" spans="1:2" x14ac:dyDescent="0.25">
      <c r="A188" t="s">
        <v>192</v>
      </c>
      <c r="B188">
        <v>28.400000000000002</v>
      </c>
    </row>
    <row r="189" spans="1:2" x14ac:dyDescent="0.25">
      <c r="A189" t="s">
        <v>315</v>
      </c>
      <c r="B189">
        <v>506</v>
      </c>
    </row>
    <row r="190" spans="1:2" x14ac:dyDescent="0.25">
      <c r="A190" t="s">
        <v>291</v>
      </c>
      <c r="B190">
        <v>1722.5800000000002</v>
      </c>
    </row>
  </sheetData>
  <sortState ref="A2:B120">
    <sortCondition descending="1" ref="B1"/>
  </sortState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_Form">
                <anchor moveWithCells="1" sizeWithCells="1">
                  <from>
                    <xdr:col>10</xdr:col>
                    <xdr:colOff>200025</xdr:colOff>
                    <xdr:row>2</xdr:row>
                    <xdr:rowOff>0</xdr:rowOff>
                  </from>
                  <to>
                    <xdr:col>11</xdr:col>
                    <xdr:colOff>466725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23"/>
  <sheetViews>
    <sheetView workbookViewId="0">
      <selection activeCell="M28" sqref="M28"/>
    </sheetView>
  </sheetViews>
  <sheetFormatPr defaultRowHeight="15" x14ac:dyDescent="0.25"/>
  <cols>
    <col min="1" max="1" width="10.7109375" customWidth="1"/>
    <col min="2" max="2" width="17.28515625" style="21" customWidth="1"/>
    <col min="3" max="3" width="11.140625" style="20" customWidth="1"/>
  </cols>
  <sheetData>
    <row r="1" spans="1:5" x14ac:dyDescent="0.25">
      <c r="A1" t="s">
        <v>269</v>
      </c>
    </row>
    <row r="3" spans="1:5" x14ac:dyDescent="0.25">
      <c r="A3" t="s">
        <v>24</v>
      </c>
      <c r="B3" s="21" t="s">
        <v>271</v>
      </c>
      <c r="C3" s="22" t="s">
        <v>270</v>
      </c>
      <c r="D3" t="s">
        <v>324</v>
      </c>
    </row>
    <row r="4" spans="1:5" x14ac:dyDescent="0.25">
      <c r="A4" t="s">
        <v>29</v>
      </c>
      <c r="B4" s="21">
        <v>1135642.1499999999</v>
      </c>
      <c r="C4" s="20">
        <f>B4/1000</f>
        <v>1135.6421499999999</v>
      </c>
    </row>
    <row r="5" spans="1:5" x14ac:dyDescent="0.25">
      <c r="A5" t="s">
        <v>30</v>
      </c>
      <c r="B5" s="21">
        <v>410667.51999999996</v>
      </c>
      <c r="C5" s="20">
        <f t="shared" ref="C5:C68" si="0">B5/1000</f>
        <v>410.66751999999997</v>
      </c>
    </row>
    <row r="6" spans="1:5" x14ac:dyDescent="0.25">
      <c r="A6" t="s">
        <v>32</v>
      </c>
      <c r="B6" s="21">
        <v>351212.28</v>
      </c>
      <c r="C6" s="20">
        <f t="shared" si="0"/>
        <v>351.21228000000002</v>
      </c>
    </row>
    <row r="7" spans="1:5" x14ac:dyDescent="0.25">
      <c r="A7" t="s">
        <v>146</v>
      </c>
      <c r="B7" s="21">
        <v>262663.25000000006</v>
      </c>
      <c r="C7" s="20">
        <f t="shared" si="0"/>
        <v>262.66325000000006</v>
      </c>
    </row>
    <row r="8" spans="1:5" x14ac:dyDescent="0.25">
      <c r="A8" t="s">
        <v>124</v>
      </c>
      <c r="B8" s="21">
        <v>171897.21000000049</v>
      </c>
      <c r="C8" s="20">
        <f t="shared" si="0"/>
        <v>171.89721000000048</v>
      </c>
    </row>
    <row r="9" spans="1:5" x14ac:dyDescent="0.25">
      <c r="A9" t="s">
        <v>36</v>
      </c>
      <c r="B9" s="21">
        <v>146699.27999999985</v>
      </c>
      <c r="C9" s="20">
        <f t="shared" si="0"/>
        <v>146.69927999999985</v>
      </c>
      <c r="D9" t="s">
        <v>325</v>
      </c>
      <c r="E9" t="s">
        <v>326</v>
      </c>
    </row>
    <row r="10" spans="1:5" x14ac:dyDescent="0.25">
      <c r="A10" t="s">
        <v>126</v>
      </c>
      <c r="B10" s="21">
        <v>129248.32999999994</v>
      </c>
      <c r="C10" s="20">
        <f t="shared" si="0"/>
        <v>129.24832999999995</v>
      </c>
      <c r="D10" t="s">
        <v>329</v>
      </c>
      <c r="E10" t="s">
        <v>330</v>
      </c>
    </row>
    <row r="11" spans="1:5" x14ac:dyDescent="0.25">
      <c r="A11" t="s">
        <v>14</v>
      </c>
      <c r="B11" s="21">
        <v>86269.33500000005</v>
      </c>
      <c r="C11" s="20">
        <f t="shared" si="0"/>
        <v>86.269335000000055</v>
      </c>
      <c r="D11" t="s">
        <v>327</v>
      </c>
      <c r="E11" t="s">
        <v>328</v>
      </c>
    </row>
    <row r="12" spans="1:5" x14ac:dyDescent="0.25">
      <c r="A12" t="s">
        <v>18</v>
      </c>
      <c r="B12" s="21">
        <v>84945.080000000162</v>
      </c>
      <c r="C12" s="20">
        <f t="shared" si="0"/>
        <v>84.945080000000161</v>
      </c>
      <c r="D12" t="s">
        <v>325</v>
      </c>
      <c r="E12" t="s">
        <v>326</v>
      </c>
    </row>
    <row r="13" spans="1:5" x14ac:dyDescent="0.25">
      <c r="A13" t="s">
        <v>13</v>
      </c>
      <c r="B13" s="21">
        <v>78252.810000000027</v>
      </c>
      <c r="C13" s="20">
        <f t="shared" si="0"/>
        <v>78.252810000000025</v>
      </c>
      <c r="D13" s="41">
        <v>0</v>
      </c>
      <c r="E13" s="41">
        <v>0</v>
      </c>
    </row>
    <row r="14" spans="1:5" x14ac:dyDescent="0.25">
      <c r="A14" t="s">
        <v>23</v>
      </c>
      <c r="B14" s="21">
        <v>77219.75</v>
      </c>
      <c r="C14" s="20">
        <f t="shared" si="0"/>
        <v>77.219750000000005</v>
      </c>
    </row>
    <row r="15" spans="1:5" x14ac:dyDescent="0.25">
      <c r="A15" t="s">
        <v>155</v>
      </c>
      <c r="B15" s="21">
        <v>77034.950000000041</v>
      </c>
      <c r="C15" s="20">
        <f t="shared" si="0"/>
        <v>77.034950000000038</v>
      </c>
    </row>
    <row r="16" spans="1:5" x14ac:dyDescent="0.25">
      <c r="A16" t="s">
        <v>127</v>
      </c>
      <c r="B16" s="21">
        <v>75490.930000000008</v>
      </c>
      <c r="C16" s="20">
        <f t="shared" si="0"/>
        <v>75.490930000000006</v>
      </c>
    </row>
    <row r="17" spans="1:16" x14ac:dyDescent="0.25">
      <c r="A17" t="s">
        <v>16</v>
      </c>
      <c r="B17" s="21">
        <v>70257.890000000029</v>
      </c>
      <c r="C17" s="20">
        <f t="shared" si="0"/>
        <v>70.257890000000032</v>
      </c>
    </row>
    <row r="18" spans="1:16" x14ac:dyDescent="0.25">
      <c r="A18" t="s">
        <v>131</v>
      </c>
      <c r="B18" s="21">
        <v>68608.643000000171</v>
      </c>
      <c r="C18" s="20">
        <f t="shared" si="0"/>
        <v>68.608643000000171</v>
      </c>
      <c r="D18" t="s">
        <v>331</v>
      </c>
      <c r="E18" t="s">
        <v>332</v>
      </c>
    </row>
    <row r="19" spans="1:16" x14ac:dyDescent="0.25">
      <c r="A19" t="s">
        <v>128</v>
      </c>
      <c r="B19" s="21">
        <v>67418.75999999998</v>
      </c>
      <c r="C19" s="20">
        <f t="shared" si="0"/>
        <v>67.418759999999978</v>
      </c>
    </row>
    <row r="20" spans="1:16" x14ac:dyDescent="0.25">
      <c r="A20" t="s">
        <v>130</v>
      </c>
      <c r="B20" s="21">
        <v>61416.179999999993</v>
      </c>
      <c r="C20" s="20">
        <f t="shared" si="0"/>
        <v>61.41617999999999</v>
      </c>
    </row>
    <row r="21" spans="1:16" x14ac:dyDescent="0.25">
      <c r="A21" t="s">
        <v>17</v>
      </c>
      <c r="B21" s="21">
        <v>58941.110000000008</v>
      </c>
      <c r="C21" s="20">
        <f t="shared" si="0"/>
        <v>58.941110000000009</v>
      </c>
    </row>
    <row r="22" spans="1:16" x14ac:dyDescent="0.25">
      <c r="A22" t="s">
        <v>132</v>
      </c>
      <c r="B22" s="21">
        <v>53909.749999999985</v>
      </c>
      <c r="C22" s="20">
        <f t="shared" si="0"/>
        <v>53.909749999999988</v>
      </c>
    </row>
    <row r="23" spans="1:16" x14ac:dyDescent="0.25">
      <c r="A23" t="s">
        <v>125</v>
      </c>
      <c r="B23" s="21">
        <v>53754.39000000005</v>
      </c>
      <c r="C23" s="20">
        <f t="shared" si="0"/>
        <v>53.754390000000051</v>
      </c>
    </row>
    <row r="24" spans="1:16" x14ac:dyDescent="0.25">
      <c r="A24" t="s">
        <v>134</v>
      </c>
      <c r="B24" s="21">
        <v>53203.360000000015</v>
      </c>
      <c r="C24" s="20">
        <f t="shared" si="0"/>
        <v>53.203360000000018</v>
      </c>
    </row>
    <row r="25" spans="1:16" x14ac:dyDescent="0.25">
      <c r="A25" t="s">
        <v>27</v>
      </c>
      <c r="B25" s="21">
        <v>51893.680000000015</v>
      </c>
      <c r="C25" s="20">
        <f t="shared" si="0"/>
        <v>51.893680000000018</v>
      </c>
    </row>
    <row r="26" spans="1:16" x14ac:dyDescent="0.25">
      <c r="A26" t="s">
        <v>144</v>
      </c>
      <c r="B26" s="21">
        <v>43294.269999999975</v>
      </c>
      <c r="C26" s="20">
        <f t="shared" si="0"/>
        <v>43.294269999999976</v>
      </c>
      <c r="P26">
        <f>25*8</f>
        <v>200</v>
      </c>
    </row>
    <row r="27" spans="1:16" x14ac:dyDescent="0.25">
      <c r="A27" t="s">
        <v>22</v>
      </c>
      <c r="B27" s="21">
        <v>43004.119999999981</v>
      </c>
      <c r="C27" s="20">
        <f t="shared" si="0"/>
        <v>43.004119999999979</v>
      </c>
    </row>
    <row r="28" spans="1:16" x14ac:dyDescent="0.25">
      <c r="A28" t="s">
        <v>151</v>
      </c>
      <c r="B28" s="21">
        <v>40614.639999999985</v>
      </c>
      <c r="C28" s="20">
        <f t="shared" si="0"/>
        <v>40.614639999999987</v>
      </c>
    </row>
    <row r="29" spans="1:16" x14ac:dyDescent="0.25">
      <c r="A29" t="s">
        <v>161</v>
      </c>
      <c r="B29" s="21">
        <v>40069.22</v>
      </c>
      <c r="C29" s="20">
        <f t="shared" si="0"/>
        <v>40.069220000000001</v>
      </c>
    </row>
    <row r="30" spans="1:16" x14ac:dyDescent="0.25">
      <c r="A30" t="s">
        <v>129</v>
      </c>
      <c r="B30" s="21">
        <v>38237.99000000002</v>
      </c>
      <c r="C30" s="20">
        <f t="shared" si="0"/>
        <v>38.237990000000018</v>
      </c>
    </row>
    <row r="31" spans="1:16" x14ac:dyDescent="0.25">
      <c r="A31" t="s">
        <v>173</v>
      </c>
      <c r="B31" s="21">
        <v>35256.050000000003</v>
      </c>
      <c r="C31" s="20">
        <f t="shared" si="0"/>
        <v>35.256050000000002</v>
      </c>
    </row>
    <row r="32" spans="1:16" x14ac:dyDescent="0.25">
      <c r="A32" t="s">
        <v>33</v>
      </c>
      <c r="B32" s="21">
        <v>32547.089999999982</v>
      </c>
      <c r="C32" s="20">
        <f t="shared" si="0"/>
        <v>32.547089999999983</v>
      </c>
    </row>
    <row r="33" spans="1:3" x14ac:dyDescent="0.25">
      <c r="A33" t="s">
        <v>150</v>
      </c>
      <c r="B33" s="21">
        <v>32490.390000000007</v>
      </c>
      <c r="C33" s="20">
        <f t="shared" si="0"/>
        <v>32.490390000000005</v>
      </c>
    </row>
    <row r="34" spans="1:3" x14ac:dyDescent="0.25">
      <c r="A34" t="s">
        <v>135</v>
      </c>
      <c r="B34" s="21">
        <v>31137.820000000025</v>
      </c>
      <c r="C34" s="20">
        <f t="shared" si="0"/>
        <v>31.137820000000026</v>
      </c>
    </row>
    <row r="35" spans="1:3" x14ac:dyDescent="0.25">
      <c r="A35" t="s">
        <v>35</v>
      </c>
      <c r="B35" s="21">
        <v>28259.550000000003</v>
      </c>
      <c r="C35" s="20">
        <f t="shared" si="0"/>
        <v>28.259550000000004</v>
      </c>
    </row>
    <row r="36" spans="1:3" x14ac:dyDescent="0.25">
      <c r="A36" t="s">
        <v>197</v>
      </c>
      <c r="B36" s="21">
        <v>26732.94999999999</v>
      </c>
      <c r="C36" s="20">
        <f t="shared" si="0"/>
        <v>26.732949999999988</v>
      </c>
    </row>
    <row r="37" spans="1:3" x14ac:dyDescent="0.25">
      <c r="A37" t="s">
        <v>142</v>
      </c>
      <c r="B37" s="21">
        <v>26164.1</v>
      </c>
      <c r="C37" s="20">
        <f t="shared" si="0"/>
        <v>26.164099999999998</v>
      </c>
    </row>
    <row r="38" spans="1:3" x14ac:dyDescent="0.25">
      <c r="A38" t="s">
        <v>143</v>
      </c>
      <c r="B38" s="21">
        <v>25487.479999999992</v>
      </c>
      <c r="C38" s="20">
        <f t="shared" si="0"/>
        <v>25.487479999999991</v>
      </c>
    </row>
    <row r="39" spans="1:3" x14ac:dyDescent="0.25">
      <c r="A39" t="s">
        <v>158</v>
      </c>
      <c r="B39" s="21">
        <v>20247.32</v>
      </c>
      <c r="C39" s="20">
        <f t="shared" si="0"/>
        <v>20.247319999999998</v>
      </c>
    </row>
    <row r="40" spans="1:3" x14ac:dyDescent="0.25">
      <c r="A40" t="s">
        <v>139</v>
      </c>
      <c r="B40" s="21">
        <v>20155.84</v>
      </c>
      <c r="C40" s="20">
        <f t="shared" si="0"/>
        <v>20.155840000000001</v>
      </c>
    </row>
    <row r="41" spans="1:3" x14ac:dyDescent="0.25">
      <c r="A41" t="s">
        <v>21</v>
      </c>
      <c r="B41" s="21">
        <v>18581.809999999994</v>
      </c>
      <c r="C41" s="20">
        <f t="shared" si="0"/>
        <v>18.581809999999994</v>
      </c>
    </row>
    <row r="42" spans="1:3" x14ac:dyDescent="0.25">
      <c r="A42" t="s">
        <v>133</v>
      </c>
      <c r="B42" s="21">
        <v>16195.520000000002</v>
      </c>
      <c r="C42" s="20">
        <f t="shared" si="0"/>
        <v>16.195520000000002</v>
      </c>
    </row>
    <row r="43" spans="1:3" x14ac:dyDescent="0.25">
      <c r="A43" t="s">
        <v>165</v>
      </c>
      <c r="B43" s="21">
        <v>15115.400000000001</v>
      </c>
      <c r="C43" s="20">
        <f t="shared" si="0"/>
        <v>15.115400000000001</v>
      </c>
    </row>
    <row r="44" spans="1:3" x14ac:dyDescent="0.25">
      <c r="A44" t="s">
        <v>157</v>
      </c>
      <c r="B44" s="21">
        <v>14745.570000000005</v>
      </c>
      <c r="C44" s="20">
        <f t="shared" si="0"/>
        <v>14.745570000000004</v>
      </c>
    </row>
    <row r="45" spans="1:3" x14ac:dyDescent="0.25">
      <c r="A45" t="s">
        <v>34</v>
      </c>
      <c r="B45" s="21">
        <v>14626.9</v>
      </c>
      <c r="C45" s="20">
        <f t="shared" si="0"/>
        <v>14.626899999999999</v>
      </c>
    </row>
    <row r="46" spans="1:3" x14ac:dyDescent="0.25">
      <c r="A46" t="s">
        <v>136</v>
      </c>
      <c r="B46" s="21">
        <v>14467.07</v>
      </c>
      <c r="C46" s="20">
        <f t="shared" si="0"/>
        <v>14.46707</v>
      </c>
    </row>
    <row r="47" spans="1:3" x14ac:dyDescent="0.25">
      <c r="A47" t="s">
        <v>164</v>
      </c>
      <c r="B47" s="21">
        <v>14127.75</v>
      </c>
      <c r="C47" s="20">
        <f t="shared" si="0"/>
        <v>14.127750000000001</v>
      </c>
    </row>
    <row r="48" spans="1:3" x14ac:dyDescent="0.25">
      <c r="A48" t="s">
        <v>137</v>
      </c>
      <c r="B48" s="21">
        <v>12262.59</v>
      </c>
      <c r="C48" s="20">
        <f t="shared" si="0"/>
        <v>12.262589999999999</v>
      </c>
    </row>
    <row r="49" spans="1:3" x14ac:dyDescent="0.25">
      <c r="A49" t="s">
        <v>200</v>
      </c>
      <c r="B49" s="21">
        <v>11550</v>
      </c>
      <c r="C49" s="20">
        <f t="shared" si="0"/>
        <v>11.55</v>
      </c>
    </row>
    <row r="50" spans="1:3" x14ac:dyDescent="0.25">
      <c r="A50" t="s">
        <v>37</v>
      </c>
      <c r="B50" s="21">
        <v>10697.299999999994</v>
      </c>
      <c r="C50" s="20">
        <f t="shared" si="0"/>
        <v>10.697299999999993</v>
      </c>
    </row>
    <row r="51" spans="1:3" x14ac:dyDescent="0.25">
      <c r="A51" t="s">
        <v>154</v>
      </c>
      <c r="B51" s="21">
        <v>10262.130000000001</v>
      </c>
      <c r="C51" s="20">
        <f t="shared" si="0"/>
        <v>10.262130000000001</v>
      </c>
    </row>
    <row r="52" spans="1:3" x14ac:dyDescent="0.25">
      <c r="A52" t="s">
        <v>159</v>
      </c>
      <c r="B52" s="21">
        <v>10031.960000000001</v>
      </c>
      <c r="C52" s="20">
        <f t="shared" si="0"/>
        <v>10.031960000000002</v>
      </c>
    </row>
    <row r="53" spans="1:3" x14ac:dyDescent="0.25">
      <c r="A53" t="s">
        <v>141</v>
      </c>
      <c r="B53" s="21">
        <v>9354.8899999999976</v>
      </c>
      <c r="C53" s="20">
        <f t="shared" si="0"/>
        <v>9.3548899999999975</v>
      </c>
    </row>
    <row r="54" spans="1:3" x14ac:dyDescent="0.25">
      <c r="A54" t="s">
        <v>152</v>
      </c>
      <c r="B54" s="21">
        <v>9272.89</v>
      </c>
      <c r="C54" s="20">
        <f t="shared" si="0"/>
        <v>9.2728900000000003</v>
      </c>
    </row>
    <row r="55" spans="1:3" x14ac:dyDescent="0.25">
      <c r="A55" t="s">
        <v>153</v>
      </c>
      <c r="B55" s="21">
        <v>8588.7500000000036</v>
      </c>
      <c r="C55" s="20">
        <f t="shared" si="0"/>
        <v>8.5887500000000028</v>
      </c>
    </row>
    <row r="56" spans="1:3" x14ac:dyDescent="0.25">
      <c r="A56" t="s">
        <v>251</v>
      </c>
      <c r="B56" s="21">
        <v>8138.2399999999989</v>
      </c>
      <c r="C56" s="20">
        <f t="shared" si="0"/>
        <v>8.1382399999999997</v>
      </c>
    </row>
    <row r="57" spans="1:3" x14ac:dyDescent="0.25">
      <c r="A57" t="s">
        <v>140</v>
      </c>
      <c r="B57" s="21">
        <v>7869.65</v>
      </c>
      <c r="C57" s="20">
        <f t="shared" si="0"/>
        <v>7.86965</v>
      </c>
    </row>
    <row r="58" spans="1:3" x14ac:dyDescent="0.25">
      <c r="A58" t="s">
        <v>250</v>
      </c>
      <c r="B58" s="21">
        <v>7862.5</v>
      </c>
      <c r="C58" s="20">
        <f t="shared" si="0"/>
        <v>7.8624999999999998</v>
      </c>
    </row>
    <row r="59" spans="1:3" x14ac:dyDescent="0.25">
      <c r="A59" t="s">
        <v>147</v>
      </c>
      <c r="B59" s="21">
        <v>7387.3100000000031</v>
      </c>
      <c r="C59" s="20">
        <f t="shared" si="0"/>
        <v>7.3873100000000029</v>
      </c>
    </row>
    <row r="60" spans="1:3" x14ac:dyDescent="0.25">
      <c r="A60" t="s">
        <v>193</v>
      </c>
      <c r="B60" s="21">
        <v>7386.7999999999993</v>
      </c>
      <c r="C60" s="20">
        <f t="shared" si="0"/>
        <v>7.3867999999999991</v>
      </c>
    </row>
    <row r="61" spans="1:3" x14ac:dyDescent="0.25">
      <c r="A61" t="s">
        <v>149</v>
      </c>
      <c r="B61" s="21">
        <v>7383.7699999999986</v>
      </c>
      <c r="C61" s="20">
        <f t="shared" si="0"/>
        <v>7.3837699999999984</v>
      </c>
    </row>
    <row r="62" spans="1:3" x14ac:dyDescent="0.25">
      <c r="A62" t="s">
        <v>186</v>
      </c>
      <c r="B62" s="21">
        <v>7313.7</v>
      </c>
      <c r="C62" s="20">
        <f t="shared" si="0"/>
        <v>7.3136999999999999</v>
      </c>
    </row>
    <row r="63" spans="1:3" x14ac:dyDescent="0.25">
      <c r="A63" t="s">
        <v>245</v>
      </c>
      <c r="B63" s="21">
        <v>7272.35</v>
      </c>
      <c r="C63" s="20">
        <f t="shared" si="0"/>
        <v>7.2723500000000003</v>
      </c>
    </row>
    <row r="64" spans="1:3" x14ac:dyDescent="0.25">
      <c r="A64" t="s">
        <v>31</v>
      </c>
      <c r="B64" s="21">
        <v>7201.4</v>
      </c>
      <c r="C64" s="20">
        <f t="shared" si="0"/>
        <v>7.2013999999999996</v>
      </c>
    </row>
    <row r="65" spans="1:3" x14ac:dyDescent="0.25">
      <c r="A65" t="s">
        <v>266</v>
      </c>
      <c r="B65" s="21">
        <v>7066</v>
      </c>
      <c r="C65" s="20">
        <f t="shared" si="0"/>
        <v>7.0659999999999998</v>
      </c>
    </row>
    <row r="66" spans="1:3" x14ac:dyDescent="0.25">
      <c r="A66" t="s">
        <v>166</v>
      </c>
      <c r="B66" s="21">
        <v>6257.02</v>
      </c>
      <c r="C66" s="20">
        <f t="shared" si="0"/>
        <v>6.2570200000000007</v>
      </c>
    </row>
    <row r="67" spans="1:3" x14ac:dyDescent="0.25">
      <c r="A67" t="s">
        <v>148</v>
      </c>
      <c r="B67" s="21">
        <v>5599.2499999999982</v>
      </c>
      <c r="C67" s="20">
        <f t="shared" si="0"/>
        <v>5.5992499999999978</v>
      </c>
    </row>
    <row r="68" spans="1:3" x14ac:dyDescent="0.25">
      <c r="A68" t="s">
        <v>174</v>
      </c>
      <c r="B68" s="21">
        <v>5452.9600000000009</v>
      </c>
      <c r="C68" s="20">
        <f t="shared" si="0"/>
        <v>5.4529600000000009</v>
      </c>
    </row>
    <row r="69" spans="1:3" x14ac:dyDescent="0.25">
      <c r="A69" t="s">
        <v>167</v>
      </c>
      <c r="B69" s="21">
        <v>2830.3500000000008</v>
      </c>
      <c r="C69" s="20">
        <f t="shared" ref="C69:C122" si="1">B69/1000</f>
        <v>2.830350000000001</v>
      </c>
    </row>
    <row r="70" spans="1:3" x14ac:dyDescent="0.25">
      <c r="A70" t="s">
        <v>172</v>
      </c>
      <c r="B70" s="21">
        <v>2561.4499999999998</v>
      </c>
      <c r="C70" s="20">
        <f t="shared" si="1"/>
        <v>2.5614499999999998</v>
      </c>
    </row>
    <row r="71" spans="1:3" x14ac:dyDescent="0.25">
      <c r="A71" t="s">
        <v>175</v>
      </c>
      <c r="B71" s="21">
        <v>2326.3999999999996</v>
      </c>
      <c r="C71" s="20">
        <f t="shared" si="1"/>
        <v>2.3263999999999996</v>
      </c>
    </row>
    <row r="72" spans="1:3" x14ac:dyDescent="0.25">
      <c r="A72" t="s">
        <v>181</v>
      </c>
      <c r="B72" s="21">
        <v>2189.5</v>
      </c>
      <c r="C72" s="20">
        <f t="shared" si="1"/>
        <v>2.1894999999999998</v>
      </c>
    </row>
    <row r="73" spans="1:3" x14ac:dyDescent="0.25">
      <c r="A73" t="s">
        <v>160</v>
      </c>
      <c r="B73" s="21">
        <v>2103.02</v>
      </c>
      <c r="C73" s="20">
        <f t="shared" si="1"/>
        <v>2.1030199999999999</v>
      </c>
    </row>
    <row r="74" spans="1:3" x14ac:dyDescent="0.25">
      <c r="A74" t="s">
        <v>185</v>
      </c>
      <c r="B74" s="21">
        <v>1914.3100000000002</v>
      </c>
      <c r="C74" s="20">
        <f t="shared" si="1"/>
        <v>1.9143100000000002</v>
      </c>
    </row>
    <row r="75" spans="1:3" x14ac:dyDescent="0.25">
      <c r="A75" t="s">
        <v>258</v>
      </c>
      <c r="B75" s="21">
        <v>1563.69</v>
      </c>
      <c r="C75" s="20">
        <f t="shared" si="1"/>
        <v>1.56369</v>
      </c>
    </row>
    <row r="76" spans="1:3" x14ac:dyDescent="0.25">
      <c r="A76" t="s">
        <v>179</v>
      </c>
      <c r="B76" s="21">
        <v>1542.0799999999997</v>
      </c>
      <c r="C76" s="20">
        <f t="shared" si="1"/>
        <v>1.5420799999999997</v>
      </c>
    </row>
    <row r="77" spans="1:3" x14ac:dyDescent="0.25">
      <c r="A77" t="s">
        <v>268</v>
      </c>
      <c r="B77" s="21">
        <v>1462.9</v>
      </c>
      <c r="C77" s="20">
        <f t="shared" si="1"/>
        <v>1.4629000000000001</v>
      </c>
    </row>
    <row r="78" spans="1:3" x14ac:dyDescent="0.25">
      <c r="A78" t="s">
        <v>188</v>
      </c>
      <c r="B78" s="21">
        <v>1456.5100000000002</v>
      </c>
      <c r="C78" s="20">
        <f t="shared" si="1"/>
        <v>1.4565100000000002</v>
      </c>
    </row>
    <row r="79" spans="1:3" x14ac:dyDescent="0.25">
      <c r="A79" t="s">
        <v>261</v>
      </c>
      <c r="B79" s="21">
        <v>1236</v>
      </c>
      <c r="C79" s="20">
        <f t="shared" si="1"/>
        <v>1.236</v>
      </c>
    </row>
    <row r="80" spans="1:3" x14ac:dyDescent="0.25">
      <c r="A80" t="s">
        <v>170</v>
      </c>
      <c r="B80" s="21">
        <v>1217.0599999999997</v>
      </c>
      <c r="C80" s="20">
        <f t="shared" si="1"/>
        <v>1.2170599999999998</v>
      </c>
    </row>
    <row r="81" spans="1:3" x14ac:dyDescent="0.25">
      <c r="A81" t="s">
        <v>182</v>
      </c>
      <c r="B81" s="21">
        <v>1115.3600000000004</v>
      </c>
      <c r="C81" s="20">
        <f t="shared" si="1"/>
        <v>1.1153600000000004</v>
      </c>
    </row>
    <row r="82" spans="1:3" x14ac:dyDescent="0.25">
      <c r="A82" t="s">
        <v>254</v>
      </c>
      <c r="B82" s="21">
        <v>1102.8</v>
      </c>
      <c r="C82" s="20">
        <f t="shared" si="1"/>
        <v>1.1028</v>
      </c>
    </row>
    <row r="83" spans="1:3" x14ac:dyDescent="0.25">
      <c r="A83" t="s">
        <v>194</v>
      </c>
      <c r="B83" s="21">
        <v>1032.5999999999999</v>
      </c>
      <c r="C83" s="20">
        <f t="shared" si="1"/>
        <v>1.0326</v>
      </c>
    </row>
    <row r="84" spans="1:3" x14ac:dyDescent="0.25">
      <c r="A84" t="s">
        <v>162</v>
      </c>
      <c r="B84" s="21">
        <v>958.75999999999988</v>
      </c>
      <c r="C84" s="20">
        <f t="shared" si="1"/>
        <v>0.95875999999999983</v>
      </c>
    </row>
    <row r="85" spans="1:3" x14ac:dyDescent="0.25">
      <c r="A85" t="s">
        <v>249</v>
      </c>
      <c r="B85" s="21">
        <v>904.19999999999993</v>
      </c>
      <c r="C85" s="20">
        <f t="shared" si="1"/>
        <v>0.90419999999999989</v>
      </c>
    </row>
    <row r="86" spans="1:3" x14ac:dyDescent="0.25">
      <c r="A86" t="s">
        <v>180</v>
      </c>
      <c r="B86" s="21">
        <v>895.75999999999988</v>
      </c>
      <c r="C86" s="20">
        <f t="shared" si="1"/>
        <v>0.89575999999999989</v>
      </c>
    </row>
    <row r="87" spans="1:3" x14ac:dyDescent="0.25">
      <c r="A87" t="s">
        <v>178</v>
      </c>
      <c r="B87" s="21">
        <v>864.00999999999965</v>
      </c>
      <c r="C87" s="20">
        <f t="shared" si="1"/>
        <v>0.86400999999999961</v>
      </c>
    </row>
    <row r="88" spans="1:3" x14ac:dyDescent="0.25">
      <c r="A88" t="s">
        <v>163</v>
      </c>
      <c r="B88" s="21">
        <v>766.32999999999981</v>
      </c>
      <c r="C88" s="20">
        <f t="shared" si="1"/>
        <v>0.76632999999999984</v>
      </c>
    </row>
    <row r="89" spans="1:3" x14ac:dyDescent="0.25">
      <c r="A89" t="s">
        <v>196</v>
      </c>
      <c r="B89" s="21">
        <v>684.08999999999958</v>
      </c>
      <c r="C89" s="20">
        <f t="shared" si="1"/>
        <v>0.68408999999999953</v>
      </c>
    </row>
    <row r="90" spans="1:3" x14ac:dyDescent="0.25">
      <c r="A90" t="s">
        <v>183</v>
      </c>
      <c r="B90" s="21">
        <v>647.55199999999991</v>
      </c>
      <c r="C90" s="20">
        <f t="shared" si="1"/>
        <v>0.64755199999999991</v>
      </c>
    </row>
    <row r="91" spans="1:3" x14ac:dyDescent="0.25">
      <c r="A91" t="s">
        <v>171</v>
      </c>
      <c r="B91" s="21">
        <v>554.09</v>
      </c>
      <c r="C91" s="20">
        <f t="shared" si="1"/>
        <v>0.55409000000000008</v>
      </c>
    </row>
    <row r="92" spans="1:3" x14ac:dyDescent="0.25">
      <c r="A92" t="s">
        <v>262</v>
      </c>
      <c r="B92" s="21">
        <v>458.37999999999994</v>
      </c>
      <c r="C92" s="20">
        <f t="shared" si="1"/>
        <v>0.45837999999999995</v>
      </c>
    </row>
    <row r="93" spans="1:3" x14ac:dyDescent="0.25">
      <c r="A93" t="s">
        <v>28</v>
      </c>
      <c r="B93" s="21">
        <v>453.42</v>
      </c>
      <c r="C93" s="20">
        <f t="shared" si="1"/>
        <v>0.45341999999999999</v>
      </c>
    </row>
    <row r="94" spans="1:3" x14ac:dyDescent="0.25">
      <c r="A94" t="s">
        <v>156</v>
      </c>
      <c r="B94" s="21">
        <v>434</v>
      </c>
      <c r="C94" s="20">
        <f t="shared" si="1"/>
        <v>0.434</v>
      </c>
    </row>
    <row r="95" spans="1:3" x14ac:dyDescent="0.25">
      <c r="A95" t="s">
        <v>248</v>
      </c>
      <c r="B95" s="21">
        <v>396</v>
      </c>
      <c r="C95" s="20">
        <f t="shared" si="1"/>
        <v>0.39600000000000002</v>
      </c>
    </row>
    <row r="96" spans="1:3" x14ac:dyDescent="0.25">
      <c r="A96" t="s">
        <v>169</v>
      </c>
      <c r="B96" s="21">
        <v>322.67000000000007</v>
      </c>
      <c r="C96" s="20">
        <f t="shared" si="1"/>
        <v>0.32267000000000007</v>
      </c>
    </row>
    <row r="97" spans="1:3" x14ac:dyDescent="0.25">
      <c r="A97" t="s">
        <v>260</v>
      </c>
      <c r="B97" s="21">
        <v>305</v>
      </c>
      <c r="C97" s="20">
        <f t="shared" si="1"/>
        <v>0.30499999999999999</v>
      </c>
    </row>
    <row r="98" spans="1:3" x14ac:dyDescent="0.25">
      <c r="A98" t="s">
        <v>252</v>
      </c>
      <c r="B98" s="21">
        <v>209</v>
      </c>
      <c r="C98" s="20">
        <f t="shared" si="1"/>
        <v>0.20899999999999999</v>
      </c>
    </row>
    <row r="99" spans="1:3" x14ac:dyDescent="0.25">
      <c r="A99" t="s">
        <v>253</v>
      </c>
      <c r="B99" s="21">
        <v>185</v>
      </c>
      <c r="C99" s="20">
        <f t="shared" si="1"/>
        <v>0.185</v>
      </c>
    </row>
    <row r="100" spans="1:3" x14ac:dyDescent="0.25">
      <c r="A100" t="s">
        <v>255</v>
      </c>
      <c r="B100" s="21">
        <v>183</v>
      </c>
      <c r="C100" s="20">
        <f t="shared" si="1"/>
        <v>0.183</v>
      </c>
    </row>
    <row r="101" spans="1:3" x14ac:dyDescent="0.25">
      <c r="A101" t="s">
        <v>138</v>
      </c>
      <c r="B101" s="21">
        <v>119.68999999999998</v>
      </c>
      <c r="C101" s="20">
        <f t="shared" si="1"/>
        <v>0.11968999999999998</v>
      </c>
    </row>
    <row r="102" spans="1:3" x14ac:dyDescent="0.25">
      <c r="A102" t="s">
        <v>198</v>
      </c>
      <c r="B102" s="21">
        <v>111.70000000000002</v>
      </c>
      <c r="C102" s="20">
        <f t="shared" si="1"/>
        <v>0.11170000000000002</v>
      </c>
    </row>
    <row r="103" spans="1:3" x14ac:dyDescent="0.25">
      <c r="A103" t="s">
        <v>177</v>
      </c>
      <c r="B103" s="21">
        <v>105.13</v>
      </c>
      <c r="C103" s="20">
        <f t="shared" si="1"/>
        <v>0.10513</v>
      </c>
    </row>
    <row r="104" spans="1:3" x14ac:dyDescent="0.25">
      <c r="A104" t="s">
        <v>189</v>
      </c>
      <c r="B104" s="21">
        <v>87.539999999999992</v>
      </c>
      <c r="C104" s="20">
        <f t="shared" si="1"/>
        <v>8.7539999999999993E-2</v>
      </c>
    </row>
    <row r="105" spans="1:3" x14ac:dyDescent="0.25">
      <c r="A105" t="s">
        <v>259</v>
      </c>
      <c r="B105" s="21">
        <v>82.5</v>
      </c>
      <c r="C105" s="20">
        <f t="shared" si="1"/>
        <v>8.2500000000000004E-2</v>
      </c>
    </row>
    <row r="106" spans="1:3" x14ac:dyDescent="0.25">
      <c r="A106" t="s">
        <v>145</v>
      </c>
      <c r="B106" s="21">
        <v>72.45999999999998</v>
      </c>
      <c r="C106" s="20">
        <f t="shared" si="1"/>
        <v>7.2459999999999983E-2</v>
      </c>
    </row>
    <row r="107" spans="1:3" x14ac:dyDescent="0.25">
      <c r="A107" t="s">
        <v>195</v>
      </c>
      <c r="B107" s="21">
        <v>69.12</v>
      </c>
      <c r="C107" s="20">
        <f t="shared" si="1"/>
        <v>6.9120000000000001E-2</v>
      </c>
    </row>
    <row r="108" spans="1:3" x14ac:dyDescent="0.25">
      <c r="A108" t="s">
        <v>26</v>
      </c>
      <c r="B108" s="21">
        <v>66.915000000000006</v>
      </c>
      <c r="C108" s="20">
        <f t="shared" si="1"/>
        <v>6.6915000000000002E-2</v>
      </c>
    </row>
    <row r="109" spans="1:3" x14ac:dyDescent="0.25">
      <c r="A109" t="s">
        <v>187</v>
      </c>
      <c r="B109" s="21">
        <v>44.980000000000004</v>
      </c>
      <c r="C109" s="20">
        <f t="shared" si="1"/>
        <v>4.4980000000000006E-2</v>
      </c>
    </row>
    <row r="110" spans="1:3" x14ac:dyDescent="0.25">
      <c r="A110" t="s">
        <v>168</v>
      </c>
      <c r="B110" s="21">
        <v>42.629999999999995</v>
      </c>
      <c r="C110" s="20">
        <f t="shared" si="1"/>
        <v>4.2629999999999994E-2</v>
      </c>
    </row>
    <row r="111" spans="1:3" x14ac:dyDescent="0.25">
      <c r="A111" t="s">
        <v>199</v>
      </c>
      <c r="B111" s="21">
        <v>31.299999999999997</v>
      </c>
      <c r="C111" s="20">
        <f t="shared" si="1"/>
        <v>3.1299999999999994E-2</v>
      </c>
    </row>
    <row r="112" spans="1:3" x14ac:dyDescent="0.25">
      <c r="A112" t="s">
        <v>263</v>
      </c>
      <c r="B112" s="21">
        <v>27</v>
      </c>
      <c r="C112" s="20">
        <f t="shared" si="1"/>
        <v>2.7E-2</v>
      </c>
    </row>
    <row r="113" spans="1:3" x14ac:dyDescent="0.25">
      <c r="A113" t="s">
        <v>191</v>
      </c>
      <c r="B113" s="21">
        <v>25.46</v>
      </c>
      <c r="C113" s="20">
        <f t="shared" si="1"/>
        <v>2.546E-2</v>
      </c>
    </row>
    <row r="114" spans="1:3" x14ac:dyDescent="0.25">
      <c r="A114" t="s">
        <v>265</v>
      </c>
      <c r="B114" s="21">
        <v>21.65</v>
      </c>
      <c r="C114" s="20">
        <f t="shared" si="1"/>
        <v>2.1649999999999999E-2</v>
      </c>
    </row>
    <row r="115" spans="1:3" x14ac:dyDescent="0.25">
      <c r="A115" t="s">
        <v>264</v>
      </c>
      <c r="B115" s="21">
        <v>18</v>
      </c>
      <c r="C115" s="20">
        <f t="shared" si="1"/>
        <v>1.7999999999999999E-2</v>
      </c>
    </row>
    <row r="116" spans="1:3" x14ac:dyDescent="0.25">
      <c r="A116" t="s">
        <v>267</v>
      </c>
      <c r="B116" s="21">
        <v>18</v>
      </c>
      <c r="C116" s="20">
        <f t="shared" si="1"/>
        <v>1.7999999999999999E-2</v>
      </c>
    </row>
    <row r="117" spans="1:3" x14ac:dyDescent="0.25">
      <c r="A117" t="s">
        <v>256</v>
      </c>
      <c r="B117" s="21">
        <v>13.530000000000001</v>
      </c>
      <c r="C117" s="20">
        <f t="shared" si="1"/>
        <v>1.353E-2</v>
      </c>
    </row>
    <row r="118" spans="1:3" x14ac:dyDescent="0.25">
      <c r="A118" t="s">
        <v>257</v>
      </c>
      <c r="B118" s="21">
        <v>8.68</v>
      </c>
      <c r="C118" s="20">
        <f t="shared" si="1"/>
        <v>8.6800000000000002E-3</v>
      </c>
    </row>
    <row r="119" spans="1:3" x14ac:dyDescent="0.25">
      <c r="A119" t="s">
        <v>202</v>
      </c>
      <c r="B119" s="21">
        <v>7.2399999999999993</v>
      </c>
      <c r="C119" s="20">
        <f t="shared" si="1"/>
        <v>7.239999999999999E-3</v>
      </c>
    </row>
    <row r="120" spans="1:3" x14ac:dyDescent="0.25">
      <c r="A120" t="s">
        <v>184</v>
      </c>
      <c r="B120" s="21">
        <v>6.8</v>
      </c>
      <c r="C120" s="20">
        <f t="shared" si="1"/>
        <v>6.7999999999999996E-3</v>
      </c>
    </row>
    <row r="121" spans="1:3" x14ac:dyDescent="0.25">
      <c r="A121" t="s">
        <v>190</v>
      </c>
      <c r="B121" s="21">
        <v>4.12</v>
      </c>
      <c r="C121" s="20">
        <f t="shared" si="1"/>
        <v>4.1200000000000004E-3</v>
      </c>
    </row>
    <row r="122" spans="1:3" x14ac:dyDescent="0.25">
      <c r="A122" t="s">
        <v>192</v>
      </c>
      <c r="B122" s="21">
        <v>3.7</v>
      </c>
      <c r="C122" s="20">
        <f t="shared" si="1"/>
        <v>3.7000000000000002E-3</v>
      </c>
    </row>
    <row r="123" spans="1:3" x14ac:dyDescent="0.25">
      <c r="B123" s="21" t="s">
        <v>272</v>
      </c>
      <c r="C123" s="23">
        <f>SUM(C3:C122)</f>
        <v>4428.2803850000018</v>
      </c>
    </row>
  </sheetData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pen_Form">
                <anchor moveWithCells="1" sizeWithCells="1">
                  <from>
                    <xdr:col>10</xdr:col>
                    <xdr:colOff>200025</xdr:colOff>
                    <xdr:row>2</xdr:row>
                    <xdr:rowOff>0</xdr:rowOff>
                  </from>
                  <to>
                    <xdr:col>11</xdr:col>
                    <xdr:colOff>466725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3"/>
  <sheetViews>
    <sheetView topLeftCell="A13" workbookViewId="0">
      <selection activeCell="L32" sqref="L32"/>
    </sheetView>
  </sheetViews>
  <sheetFormatPr defaultRowHeight="15" x14ac:dyDescent="0.25"/>
  <cols>
    <col min="1" max="1" width="5.140625" customWidth="1"/>
    <col min="2" max="2" width="21.5703125" customWidth="1"/>
    <col min="3" max="3" width="14" customWidth="1"/>
    <col min="4" max="4" width="52.5703125" customWidth="1"/>
    <col min="6" max="6" width="45.5703125" customWidth="1"/>
  </cols>
  <sheetData>
    <row r="1" spans="1:4" x14ac:dyDescent="0.25">
      <c r="A1" t="s">
        <v>57</v>
      </c>
    </row>
    <row r="3" spans="1:4" x14ac:dyDescent="0.25">
      <c r="A3" t="s">
        <v>58</v>
      </c>
      <c r="B3" t="s">
        <v>59</v>
      </c>
      <c r="C3" t="s">
        <v>60</v>
      </c>
      <c r="D3" t="s">
        <v>61</v>
      </c>
    </row>
    <row r="4" spans="1:4" x14ac:dyDescent="0.25">
      <c r="A4">
        <v>1</v>
      </c>
      <c r="B4" t="s">
        <v>62</v>
      </c>
      <c r="C4">
        <v>1</v>
      </c>
      <c r="D4" t="s">
        <v>64</v>
      </c>
    </row>
    <row r="5" spans="1:4" x14ac:dyDescent="0.25">
      <c r="A5">
        <v>2</v>
      </c>
      <c r="B5" t="s">
        <v>63</v>
      </c>
      <c r="C5">
        <v>1</v>
      </c>
      <c r="D5" t="s">
        <v>64</v>
      </c>
    </row>
    <row r="6" spans="1:4" x14ac:dyDescent="0.25">
      <c r="A6">
        <v>3</v>
      </c>
      <c r="B6" t="s">
        <v>65</v>
      </c>
      <c r="C6">
        <v>1</v>
      </c>
      <c r="D6" t="s">
        <v>68</v>
      </c>
    </row>
    <row r="7" spans="1:4" x14ac:dyDescent="0.25">
      <c r="A7">
        <v>4</v>
      </c>
      <c r="B7" t="s">
        <v>66</v>
      </c>
      <c r="C7">
        <v>1</v>
      </c>
      <c r="D7" t="s">
        <v>68</v>
      </c>
    </row>
    <row r="8" spans="1:4" x14ac:dyDescent="0.25">
      <c r="A8">
        <v>5</v>
      </c>
      <c r="B8" t="s">
        <v>67</v>
      </c>
      <c r="C8">
        <v>1</v>
      </c>
      <c r="D8" t="s">
        <v>69</v>
      </c>
    </row>
    <row r="9" spans="1:4" x14ac:dyDescent="0.25">
      <c r="A9">
        <v>6</v>
      </c>
      <c r="B9" t="s">
        <v>70</v>
      </c>
      <c r="C9">
        <v>1</v>
      </c>
      <c r="D9" t="s">
        <v>71</v>
      </c>
    </row>
    <row r="10" spans="1:4" x14ac:dyDescent="0.25">
      <c r="A10">
        <v>7</v>
      </c>
      <c r="B10" t="s">
        <v>72</v>
      </c>
      <c r="C10">
        <v>1</v>
      </c>
      <c r="D10" t="s">
        <v>73</v>
      </c>
    </row>
    <row r="11" spans="1:4" x14ac:dyDescent="0.25">
      <c r="A11">
        <v>8</v>
      </c>
      <c r="B11" t="s">
        <v>74</v>
      </c>
      <c r="C11">
        <v>1</v>
      </c>
      <c r="D11" t="s">
        <v>75</v>
      </c>
    </row>
    <row r="12" spans="1:4" x14ac:dyDescent="0.25">
      <c r="A12">
        <v>9</v>
      </c>
      <c r="B12" t="s">
        <v>76</v>
      </c>
      <c r="C12">
        <v>1</v>
      </c>
      <c r="D12" t="s">
        <v>77</v>
      </c>
    </row>
    <row r="13" spans="1:4" x14ac:dyDescent="0.25">
      <c r="A13">
        <v>10</v>
      </c>
      <c r="B13" t="s">
        <v>78</v>
      </c>
      <c r="C13">
        <v>1</v>
      </c>
      <c r="D13" t="s">
        <v>79</v>
      </c>
    </row>
    <row r="14" spans="1:4" x14ac:dyDescent="0.25">
      <c r="A14">
        <v>11</v>
      </c>
      <c r="B14" t="s">
        <v>80</v>
      </c>
      <c r="C14">
        <v>1</v>
      </c>
      <c r="D14" t="s">
        <v>81</v>
      </c>
    </row>
    <row r="15" spans="1:4" x14ac:dyDescent="0.25">
      <c r="A15">
        <v>12</v>
      </c>
      <c r="B15" t="s">
        <v>82</v>
      </c>
      <c r="C15">
        <v>1</v>
      </c>
      <c r="D15" t="s">
        <v>83</v>
      </c>
    </row>
    <row r="16" spans="1:4" ht="45" x14ac:dyDescent="0.25">
      <c r="A16" s="8">
        <v>13</v>
      </c>
      <c r="B16" s="8" t="s">
        <v>85</v>
      </c>
      <c r="C16" s="8">
        <v>1</v>
      </c>
      <c r="D16" s="9" t="s">
        <v>86</v>
      </c>
    </row>
    <row r="18" spans="1:6" x14ac:dyDescent="0.25">
      <c r="B18" t="s">
        <v>84</v>
      </c>
      <c r="C18" s="7">
        <f>SUM(C4:C16)</f>
        <v>13</v>
      </c>
    </row>
    <row r="21" spans="1:6" x14ac:dyDescent="0.25">
      <c r="A21" t="s">
        <v>87</v>
      </c>
    </row>
    <row r="23" spans="1:6" x14ac:dyDescent="0.25">
      <c r="A23" t="s">
        <v>58</v>
      </c>
      <c r="B23" t="s">
        <v>59</v>
      </c>
      <c r="C23" t="s">
        <v>60</v>
      </c>
      <c r="D23" t="s">
        <v>61</v>
      </c>
    </row>
    <row r="24" spans="1:6" x14ac:dyDescent="0.25">
      <c r="A24">
        <v>1</v>
      </c>
      <c r="B24" t="s">
        <v>85</v>
      </c>
      <c r="C24">
        <v>1</v>
      </c>
      <c r="D24" t="s">
        <v>88</v>
      </c>
    </row>
    <row r="25" spans="1:6" x14ac:dyDescent="0.25">
      <c r="A25">
        <v>2</v>
      </c>
      <c r="B25" t="s">
        <v>89</v>
      </c>
      <c r="C25">
        <v>1</v>
      </c>
      <c r="D25" t="s">
        <v>90</v>
      </c>
    </row>
    <row r="26" spans="1:6" x14ac:dyDescent="0.25">
      <c r="A26">
        <v>3</v>
      </c>
      <c r="B26" t="s">
        <v>91</v>
      </c>
      <c r="C26">
        <v>1</v>
      </c>
      <c r="D26" t="s">
        <v>92</v>
      </c>
    </row>
    <row r="27" spans="1:6" x14ac:dyDescent="0.25">
      <c r="A27">
        <v>4</v>
      </c>
      <c r="B27" t="s">
        <v>93</v>
      </c>
      <c r="C27">
        <v>1</v>
      </c>
      <c r="D27" t="s">
        <v>94</v>
      </c>
    </row>
    <row r="30" spans="1:6" x14ac:dyDescent="0.25">
      <c r="A30" t="s">
        <v>95</v>
      </c>
    </row>
    <row r="32" spans="1:6" x14ac:dyDescent="0.25">
      <c r="A32" t="s">
        <v>58</v>
      </c>
      <c r="B32" t="s">
        <v>96</v>
      </c>
      <c r="C32" t="s">
        <v>59</v>
      </c>
      <c r="D32" t="s">
        <v>61</v>
      </c>
      <c r="E32" t="s">
        <v>60</v>
      </c>
      <c r="F32" t="s">
        <v>120</v>
      </c>
    </row>
    <row r="33" spans="1:6" x14ac:dyDescent="0.25">
      <c r="A33">
        <v>1</v>
      </c>
      <c r="B33" t="s">
        <v>97</v>
      </c>
      <c r="C33" t="s">
        <v>106</v>
      </c>
      <c r="D33" t="s">
        <v>107</v>
      </c>
      <c r="E33">
        <v>1</v>
      </c>
      <c r="F33" t="s">
        <v>121</v>
      </c>
    </row>
    <row r="34" spans="1:6" x14ac:dyDescent="0.25">
      <c r="A34">
        <v>2</v>
      </c>
      <c r="B34" t="s">
        <v>98</v>
      </c>
      <c r="C34" t="s">
        <v>108</v>
      </c>
      <c r="D34" t="s">
        <v>109</v>
      </c>
      <c r="E34">
        <v>1</v>
      </c>
    </row>
    <row r="35" spans="1:6" x14ac:dyDescent="0.25">
      <c r="A35">
        <v>3</v>
      </c>
      <c r="B35" t="s">
        <v>99</v>
      </c>
      <c r="C35" t="s">
        <v>108</v>
      </c>
      <c r="D35" t="s">
        <v>110</v>
      </c>
      <c r="E35">
        <v>1</v>
      </c>
    </row>
    <row r="36" spans="1:6" x14ac:dyDescent="0.25">
      <c r="A36">
        <v>4</v>
      </c>
      <c r="B36" t="s">
        <v>100</v>
      </c>
      <c r="C36" t="s">
        <v>108</v>
      </c>
      <c r="D36" t="s">
        <v>110</v>
      </c>
      <c r="E36">
        <v>1</v>
      </c>
    </row>
    <row r="37" spans="1:6" x14ac:dyDescent="0.25">
      <c r="A37">
        <v>5</v>
      </c>
      <c r="B37" t="s">
        <v>101</v>
      </c>
      <c r="C37" t="s">
        <v>108</v>
      </c>
      <c r="D37" t="s">
        <v>111</v>
      </c>
      <c r="E37">
        <v>1</v>
      </c>
    </row>
    <row r="38" spans="1:6" x14ac:dyDescent="0.25">
      <c r="A38">
        <v>6</v>
      </c>
      <c r="B38" t="s">
        <v>102</v>
      </c>
      <c r="C38" t="s">
        <v>108</v>
      </c>
      <c r="D38" t="s">
        <v>112</v>
      </c>
      <c r="E38">
        <v>1</v>
      </c>
    </row>
    <row r="39" spans="1:6" x14ac:dyDescent="0.25">
      <c r="A39">
        <v>7</v>
      </c>
      <c r="B39" t="s">
        <v>103</v>
      </c>
      <c r="C39" t="s">
        <v>108</v>
      </c>
      <c r="D39" t="s">
        <v>115</v>
      </c>
      <c r="E39">
        <v>1</v>
      </c>
      <c r="F39" t="s">
        <v>122</v>
      </c>
    </row>
    <row r="40" spans="1:6" x14ac:dyDescent="0.25">
      <c r="A40">
        <v>8</v>
      </c>
      <c r="B40" t="s">
        <v>104</v>
      </c>
      <c r="C40" t="s">
        <v>108</v>
      </c>
      <c r="D40" t="s">
        <v>116</v>
      </c>
      <c r="E40">
        <v>1</v>
      </c>
    </row>
    <row r="41" spans="1:6" x14ac:dyDescent="0.25">
      <c r="A41">
        <v>9</v>
      </c>
      <c r="B41" t="s">
        <v>105</v>
      </c>
      <c r="C41" t="s">
        <v>108</v>
      </c>
      <c r="D41" t="s">
        <v>117</v>
      </c>
      <c r="E41">
        <v>1</v>
      </c>
    </row>
    <row r="42" spans="1:6" x14ac:dyDescent="0.25">
      <c r="A42">
        <v>10</v>
      </c>
      <c r="B42">
        <v>105</v>
      </c>
      <c r="C42" t="s">
        <v>113</v>
      </c>
      <c r="D42" t="s">
        <v>114</v>
      </c>
      <c r="E42">
        <v>1</v>
      </c>
    </row>
    <row r="43" spans="1:6" x14ac:dyDescent="0.25">
      <c r="A43">
        <v>11</v>
      </c>
      <c r="B43" t="s">
        <v>118</v>
      </c>
      <c r="C43" t="s">
        <v>108</v>
      </c>
      <c r="D43" t="s">
        <v>119</v>
      </c>
      <c r="E43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0"/>
  <sheetViews>
    <sheetView workbookViewId="0">
      <selection activeCell="M25" sqref="L25:M26"/>
    </sheetView>
  </sheetViews>
  <sheetFormatPr defaultRowHeight="15" x14ac:dyDescent="0.25"/>
  <cols>
    <col min="1" max="1" width="11.5703125" customWidth="1"/>
    <col min="2" max="2" width="10.7109375" customWidth="1"/>
  </cols>
  <sheetData>
    <row r="1" spans="1:2" x14ac:dyDescent="0.25">
      <c r="A1" t="s">
        <v>24</v>
      </c>
      <c r="B1" t="s">
        <v>123</v>
      </c>
    </row>
    <row r="2" spans="1:2" x14ac:dyDescent="0.25">
      <c r="A2" t="s">
        <v>124</v>
      </c>
      <c r="B2">
        <v>258</v>
      </c>
    </row>
    <row r="3" spans="1:2" x14ac:dyDescent="0.25">
      <c r="A3" t="s">
        <v>125</v>
      </c>
      <c r="B3">
        <v>147</v>
      </c>
    </row>
    <row r="4" spans="1:2" x14ac:dyDescent="0.25">
      <c r="A4" t="s">
        <v>14</v>
      </c>
      <c r="B4">
        <v>137</v>
      </c>
    </row>
    <row r="5" spans="1:2" x14ac:dyDescent="0.25">
      <c r="A5" t="s">
        <v>36</v>
      </c>
      <c r="B5">
        <v>132</v>
      </c>
    </row>
    <row r="6" spans="1:2" x14ac:dyDescent="0.25">
      <c r="A6" t="s">
        <v>16</v>
      </c>
      <c r="B6">
        <v>121</v>
      </c>
    </row>
    <row r="7" spans="1:2" x14ac:dyDescent="0.25">
      <c r="A7" t="s">
        <v>18</v>
      </c>
      <c r="B7">
        <v>120</v>
      </c>
    </row>
    <row r="8" spans="1:2" x14ac:dyDescent="0.25">
      <c r="A8" t="s">
        <v>126</v>
      </c>
      <c r="B8">
        <v>101</v>
      </c>
    </row>
    <row r="9" spans="1:2" x14ac:dyDescent="0.25">
      <c r="A9" t="s">
        <v>23</v>
      </c>
      <c r="B9">
        <v>84</v>
      </c>
    </row>
    <row r="10" spans="1:2" x14ac:dyDescent="0.25">
      <c r="A10" t="s">
        <v>127</v>
      </c>
      <c r="B10">
        <v>83</v>
      </c>
    </row>
    <row r="11" spans="1:2" x14ac:dyDescent="0.25">
      <c r="A11" t="s">
        <v>29</v>
      </c>
      <c r="B11">
        <v>69</v>
      </c>
    </row>
    <row r="12" spans="1:2" x14ac:dyDescent="0.25">
      <c r="A12" t="s">
        <v>128</v>
      </c>
      <c r="B12">
        <v>67</v>
      </c>
    </row>
    <row r="13" spans="1:2" x14ac:dyDescent="0.25">
      <c r="A13" t="s">
        <v>30</v>
      </c>
      <c r="B13">
        <v>65</v>
      </c>
    </row>
    <row r="14" spans="1:2" x14ac:dyDescent="0.25">
      <c r="A14" t="s">
        <v>129</v>
      </c>
      <c r="B14">
        <v>63</v>
      </c>
    </row>
    <row r="15" spans="1:2" x14ac:dyDescent="0.25">
      <c r="A15" t="s">
        <v>27</v>
      </c>
      <c r="B15">
        <v>62</v>
      </c>
    </row>
    <row r="16" spans="1:2" x14ac:dyDescent="0.25">
      <c r="A16" t="s">
        <v>130</v>
      </c>
      <c r="B16">
        <v>59</v>
      </c>
    </row>
    <row r="17" spans="1:2" x14ac:dyDescent="0.25">
      <c r="A17" t="s">
        <v>131</v>
      </c>
      <c r="B17">
        <v>58</v>
      </c>
    </row>
    <row r="18" spans="1:2" x14ac:dyDescent="0.25">
      <c r="A18" t="s">
        <v>132</v>
      </c>
      <c r="B18">
        <v>56</v>
      </c>
    </row>
    <row r="19" spans="1:2" x14ac:dyDescent="0.25">
      <c r="A19" t="s">
        <v>35</v>
      </c>
      <c r="B19">
        <v>54</v>
      </c>
    </row>
    <row r="20" spans="1:2" x14ac:dyDescent="0.25">
      <c r="A20" t="s">
        <v>133</v>
      </c>
      <c r="B20">
        <v>49</v>
      </c>
    </row>
    <row r="21" spans="1:2" x14ac:dyDescent="0.25">
      <c r="A21" t="s">
        <v>33</v>
      </c>
      <c r="B21">
        <v>47</v>
      </c>
    </row>
    <row r="22" spans="1:2" x14ac:dyDescent="0.25">
      <c r="A22" t="s">
        <v>17</v>
      </c>
      <c r="B22">
        <v>47</v>
      </c>
    </row>
    <row r="23" spans="1:2" x14ac:dyDescent="0.25">
      <c r="A23" t="s">
        <v>13</v>
      </c>
      <c r="B23">
        <v>44</v>
      </c>
    </row>
    <row r="24" spans="1:2" x14ac:dyDescent="0.25">
      <c r="A24" t="s">
        <v>134</v>
      </c>
      <c r="B24">
        <v>41</v>
      </c>
    </row>
    <row r="25" spans="1:2" x14ac:dyDescent="0.25">
      <c r="A25" t="s">
        <v>22</v>
      </c>
      <c r="B25">
        <v>40</v>
      </c>
    </row>
    <row r="26" spans="1:2" x14ac:dyDescent="0.25">
      <c r="A26" t="s">
        <v>135</v>
      </c>
      <c r="B26">
        <v>38</v>
      </c>
    </row>
    <row r="27" spans="1:2" x14ac:dyDescent="0.25">
      <c r="A27" t="s">
        <v>136</v>
      </c>
      <c r="B27">
        <v>37</v>
      </c>
    </row>
    <row r="28" spans="1:2" x14ac:dyDescent="0.25">
      <c r="A28" t="s">
        <v>137</v>
      </c>
      <c r="B28">
        <v>35</v>
      </c>
    </row>
    <row r="29" spans="1:2" x14ac:dyDescent="0.25">
      <c r="A29" t="s">
        <v>138</v>
      </c>
      <c r="B29">
        <v>34</v>
      </c>
    </row>
    <row r="30" spans="1:2" x14ac:dyDescent="0.25">
      <c r="A30" t="s">
        <v>32</v>
      </c>
      <c r="B30">
        <v>34</v>
      </c>
    </row>
    <row r="31" spans="1:2" x14ac:dyDescent="0.25">
      <c r="A31" t="s">
        <v>139</v>
      </c>
      <c r="B31">
        <v>33</v>
      </c>
    </row>
    <row r="32" spans="1:2" x14ac:dyDescent="0.25">
      <c r="A32" t="s">
        <v>26</v>
      </c>
      <c r="B32">
        <v>33</v>
      </c>
    </row>
    <row r="33" spans="1:2" x14ac:dyDescent="0.25">
      <c r="A33" t="s">
        <v>140</v>
      </c>
      <c r="B33">
        <v>32</v>
      </c>
    </row>
    <row r="34" spans="1:2" x14ac:dyDescent="0.25">
      <c r="A34" t="s">
        <v>141</v>
      </c>
      <c r="B34">
        <v>31</v>
      </c>
    </row>
    <row r="35" spans="1:2" x14ac:dyDescent="0.25">
      <c r="A35" t="s">
        <v>142</v>
      </c>
      <c r="B35">
        <v>31</v>
      </c>
    </row>
    <row r="36" spans="1:2" x14ac:dyDescent="0.25">
      <c r="A36" t="s">
        <v>143</v>
      </c>
      <c r="B36">
        <v>28</v>
      </c>
    </row>
    <row r="37" spans="1:2" x14ac:dyDescent="0.25">
      <c r="A37" t="s">
        <v>144</v>
      </c>
      <c r="B37">
        <v>28</v>
      </c>
    </row>
    <row r="38" spans="1:2" x14ac:dyDescent="0.25">
      <c r="A38" t="s">
        <v>21</v>
      </c>
      <c r="B38">
        <v>28</v>
      </c>
    </row>
    <row r="39" spans="1:2" x14ac:dyDescent="0.25">
      <c r="A39" t="s">
        <v>145</v>
      </c>
      <c r="B39">
        <v>25</v>
      </c>
    </row>
    <row r="40" spans="1:2" x14ac:dyDescent="0.25">
      <c r="A40" t="s">
        <v>146</v>
      </c>
      <c r="B40">
        <v>25</v>
      </c>
    </row>
    <row r="41" spans="1:2" x14ac:dyDescent="0.25">
      <c r="A41" t="s">
        <v>147</v>
      </c>
      <c r="B41">
        <v>24</v>
      </c>
    </row>
    <row r="42" spans="1:2" x14ac:dyDescent="0.25">
      <c r="A42" t="s">
        <v>148</v>
      </c>
      <c r="B42">
        <v>22</v>
      </c>
    </row>
    <row r="43" spans="1:2" x14ac:dyDescent="0.25">
      <c r="A43" t="s">
        <v>149</v>
      </c>
      <c r="B43">
        <v>22</v>
      </c>
    </row>
    <row r="44" spans="1:2" x14ac:dyDescent="0.25">
      <c r="A44" t="s">
        <v>150</v>
      </c>
      <c r="B44">
        <v>22</v>
      </c>
    </row>
    <row r="45" spans="1:2" x14ac:dyDescent="0.25">
      <c r="A45" t="s">
        <v>151</v>
      </c>
      <c r="B45">
        <v>21</v>
      </c>
    </row>
    <row r="46" spans="1:2" x14ac:dyDescent="0.25">
      <c r="A46" t="s">
        <v>152</v>
      </c>
      <c r="B46">
        <v>21</v>
      </c>
    </row>
    <row r="47" spans="1:2" x14ac:dyDescent="0.25">
      <c r="A47" t="s">
        <v>153</v>
      </c>
      <c r="B47">
        <v>20</v>
      </c>
    </row>
    <row r="48" spans="1:2" x14ac:dyDescent="0.25">
      <c r="A48" t="s">
        <v>154</v>
      </c>
      <c r="B48">
        <v>20</v>
      </c>
    </row>
    <row r="49" spans="1:2" x14ac:dyDescent="0.25">
      <c r="A49" t="s">
        <v>155</v>
      </c>
      <c r="B49">
        <v>18</v>
      </c>
    </row>
    <row r="50" spans="1:2" x14ac:dyDescent="0.25">
      <c r="A50" t="s">
        <v>156</v>
      </c>
      <c r="B50">
        <v>16</v>
      </c>
    </row>
    <row r="51" spans="1:2" x14ac:dyDescent="0.25">
      <c r="A51" t="s">
        <v>157</v>
      </c>
      <c r="B51">
        <v>16</v>
      </c>
    </row>
    <row r="52" spans="1:2" x14ac:dyDescent="0.25">
      <c r="A52" t="s">
        <v>158</v>
      </c>
      <c r="B52">
        <v>16</v>
      </c>
    </row>
    <row r="53" spans="1:2" x14ac:dyDescent="0.25">
      <c r="A53" t="s">
        <v>159</v>
      </c>
      <c r="B53">
        <v>15</v>
      </c>
    </row>
    <row r="54" spans="1:2" x14ac:dyDescent="0.25">
      <c r="A54" t="s">
        <v>160</v>
      </c>
      <c r="B54">
        <v>15</v>
      </c>
    </row>
    <row r="55" spans="1:2" x14ac:dyDescent="0.25">
      <c r="A55" t="s">
        <v>161</v>
      </c>
      <c r="B55">
        <v>15</v>
      </c>
    </row>
    <row r="56" spans="1:2" x14ac:dyDescent="0.25">
      <c r="A56" t="s">
        <v>31</v>
      </c>
      <c r="B56">
        <v>14</v>
      </c>
    </row>
    <row r="57" spans="1:2" x14ac:dyDescent="0.25">
      <c r="A57" t="s">
        <v>162</v>
      </c>
      <c r="B57">
        <v>12</v>
      </c>
    </row>
    <row r="58" spans="1:2" x14ac:dyDescent="0.25">
      <c r="A58" t="s">
        <v>163</v>
      </c>
      <c r="B58">
        <v>12</v>
      </c>
    </row>
    <row r="59" spans="1:2" x14ac:dyDescent="0.25">
      <c r="A59" t="s">
        <v>164</v>
      </c>
      <c r="B59">
        <v>11</v>
      </c>
    </row>
    <row r="60" spans="1:2" x14ac:dyDescent="0.25">
      <c r="A60" t="s">
        <v>165</v>
      </c>
      <c r="B60">
        <v>11</v>
      </c>
    </row>
    <row r="61" spans="1:2" x14ac:dyDescent="0.25">
      <c r="A61" t="s">
        <v>37</v>
      </c>
      <c r="B61">
        <v>10</v>
      </c>
    </row>
    <row r="62" spans="1:2" x14ac:dyDescent="0.25">
      <c r="A62" t="s">
        <v>166</v>
      </c>
      <c r="B62">
        <v>10</v>
      </c>
    </row>
    <row r="63" spans="1:2" x14ac:dyDescent="0.25">
      <c r="A63" t="s">
        <v>34</v>
      </c>
      <c r="B63">
        <v>10</v>
      </c>
    </row>
    <row r="64" spans="1:2" x14ac:dyDescent="0.25">
      <c r="A64" t="s">
        <v>167</v>
      </c>
      <c r="B64">
        <v>9</v>
      </c>
    </row>
    <row r="65" spans="1:2" x14ac:dyDescent="0.25">
      <c r="A65" t="s">
        <v>168</v>
      </c>
      <c r="B65">
        <v>9</v>
      </c>
    </row>
    <row r="66" spans="1:2" x14ac:dyDescent="0.25">
      <c r="A66" t="s">
        <v>169</v>
      </c>
      <c r="B66">
        <v>9</v>
      </c>
    </row>
    <row r="67" spans="1:2" x14ac:dyDescent="0.25">
      <c r="A67" t="s">
        <v>170</v>
      </c>
      <c r="B67">
        <v>8</v>
      </c>
    </row>
    <row r="68" spans="1:2" x14ac:dyDescent="0.25">
      <c r="A68" t="s">
        <v>171</v>
      </c>
      <c r="B68">
        <v>8</v>
      </c>
    </row>
    <row r="69" spans="1:2" x14ac:dyDescent="0.25">
      <c r="A69" t="s">
        <v>172</v>
      </c>
      <c r="B69">
        <v>8</v>
      </c>
    </row>
    <row r="70" spans="1:2" x14ac:dyDescent="0.25">
      <c r="A70" t="s">
        <v>173</v>
      </c>
      <c r="B70">
        <v>8</v>
      </c>
    </row>
    <row r="71" spans="1:2" x14ac:dyDescent="0.25">
      <c r="A71" t="s">
        <v>174</v>
      </c>
      <c r="B71">
        <v>8</v>
      </c>
    </row>
    <row r="72" spans="1:2" x14ac:dyDescent="0.25">
      <c r="A72" t="s">
        <v>175</v>
      </c>
      <c r="B72">
        <v>8</v>
      </c>
    </row>
    <row r="73" spans="1:2" x14ac:dyDescent="0.25">
      <c r="A73" t="s">
        <v>28</v>
      </c>
      <c r="B73">
        <v>8</v>
      </c>
    </row>
    <row r="74" spans="1:2" x14ac:dyDescent="0.25">
      <c r="A74" t="s">
        <v>176</v>
      </c>
      <c r="B74">
        <v>7</v>
      </c>
    </row>
    <row r="75" spans="1:2" x14ac:dyDescent="0.25">
      <c r="A75" t="s">
        <v>177</v>
      </c>
      <c r="B75">
        <v>7</v>
      </c>
    </row>
    <row r="76" spans="1:2" x14ac:dyDescent="0.25">
      <c r="A76" t="s">
        <v>178</v>
      </c>
      <c r="B76">
        <v>7</v>
      </c>
    </row>
    <row r="77" spans="1:2" x14ac:dyDescent="0.25">
      <c r="A77" t="s">
        <v>179</v>
      </c>
      <c r="B77">
        <v>6</v>
      </c>
    </row>
    <row r="78" spans="1:2" x14ac:dyDescent="0.25">
      <c r="A78" t="s">
        <v>180</v>
      </c>
      <c r="B78">
        <v>6</v>
      </c>
    </row>
    <row r="79" spans="1:2" x14ac:dyDescent="0.25">
      <c r="A79" t="s">
        <v>181</v>
      </c>
      <c r="B79">
        <v>4</v>
      </c>
    </row>
    <row r="80" spans="1:2" x14ac:dyDescent="0.25">
      <c r="A80" t="s">
        <v>182</v>
      </c>
      <c r="B80">
        <v>4</v>
      </c>
    </row>
    <row r="81" spans="1:2" x14ac:dyDescent="0.25">
      <c r="A81" t="s">
        <v>183</v>
      </c>
      <c r="B81">
        <v>4</v>
      </c>
    </row>
    <row r="82" spans="1:2" x14ac:dyDescent="0.25">
      <c r="A82" t="s">
        <v>184</v>
      </c>
      <c r="B82">
        <v>3</v>
      </c>
    </row>
    <row r="83" spans="1:2" x14ac:dyDescent="0.25">
      <c r="A83" t="s">
        <v>185</v>
      </c>
      <c r="B83">
        <v>3</v>
      </c>
    </row>
    <row r="84" spans="1:2" x14ac:dyDescent="0.25">
      <c r="A84" t="s">
        <v>186</v>
      </c>
      <c r="B84">
        <v>3</v>
      </c>
    </row>
    <row r="85" spans="1:2" x14ac:dyDescent="0.25">
      <c r="A85" t="s">
        <v>187</v>
      </c>
      <c r="B85">
        <v>3</v>
      </c>
    </row>
    <row r="86" spans="1:2" x14ac:dyDescent="0.25">
      <c r="A86" t="s">
        <v>188</v>
      </c>
      <c r="B86">
        <v>2</v>
      </c>
    </row>
    <row r="87" spans="1:2" x14ac:dyDescent="0.25">
      <c r="A87" t="s">
        <v>189</v>
      </c>
      <c r="B87">
        <v>2</v>
      </c>
    </row>
    <row r="88" spans="1:2" x14ac:dyDescent="0.25">
      <c r="A88" t="s">
        <v>190</v>
      </c>
      <c r="B88">
        <v>2</v>
      </c>
    </row>
    <row r="89" spans="1:2" x14ac:dyDescent="0.25">
      <c r="A89" t="s">
        <v>191</v>
      </c>
      <c r="B89">
        <v>2</v>
      </c>
    </row>
    <row r="90" spans="1:2" x14ac:dyDescent="0.25">
      <c r="A90" t="s">
        <v>192</v>
      </c>
      <c r="B90">
        <v>2</v>
      </c>
    </row>
    <row r="91" spans="1:2" x14ac:dyDescent="0.25">
      <c r="A91" t="s">
        <v>193</v>
      </c>
      <c r="B91">
        <v>2</v>
      </c>
    </row>
    <row r="92" spans="1:2" x14ac:dyDescent="0.25">
      <c r="A92" t="s">
        <v>194</v>
      </c>
      <c r="B92">
        <v>2</v>
      </c>
    </row>
    <row r="93" spans="1:2" x14ac:dyDescent="0.25">
      <c r="A93" t="s">
        <v>195</v>
      </c>
      <c r="B93">
        <v>1</v>
      </c>
    </row>
    <row r="94" spans="1:2" x14ac:dyDescent="0.25">
      <c r="A94" t="s">
        <v>196</v>
      </c>
      <c r="B94">
        <v>1</v>
      </c>
    </row>
    <row r="95" spans="1:2" x14ac:dyDescent="0.25">
      <c r="A95" t="s">
        <v>197</v>
      </c>
      <c r="B95">
        <v>1</v>
      </c>
    </row>
    <row r="96" spans="1:2" x14ac:dyDescent="0.25">
      <c r="A96" t="s">
        <v>198</v>
      </c>
      <c r="B96">
        <v>1</v>
      </c>
    </row>
    <row r="97" spans="1:2" x14ac:dyDescent="0.25">
      <c r="A97" t="s">
        <v>199</v>
      </c>
      <c r="B97">
        <v>1</v>
      </c>
    </row>
    <row r="98" spans="1:2" x14ac:dyDescent="0.25">
      <c r="A98" t="s">
        <v>200</v>
      </c>
      <c r="B98">
        <v>1</v>
      </c>
    </row>
    <row r="99" spans="1:2" x14ac:dyDescent="0.25">
      <c r="A99" t="s">
        <v>201</v>
      </c>
      <c r="B99">
        <v>1</v>
      </c>
    </row>
    <row r="100" spans="1:2" x14ac:dyDescent="0.25">
      <c r="A100" t="s">
        <v>202</v>
      </c>
      <c r="B10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5"/>
  <sheetViews>
    <sheetView workbookViewId="0">
      <selection activeCell="H29" sqref="H29"/>
    </sheetView>
  </sheetViews>
  <sheetFormatPr defaultRowHeight="15" x14ac:dyDescent="0.25"/>
  <cols>
    <col min="1" max="1" width="33.140625" customWidth="1"/>
    <col min="6" max="6" width="12.140625" customWidth="1"/>
    <col min="8" max="8" width="11.28515625" customWidth="1"/>
    <col min="9" max="9" width="2.140625" customWidth="1"/>
    <col min="10" max="10" width="10.7109375" customWidth="1"/>
    <col min="12" max="12" width="13.28515625" customWidth="1"/>
    <col min="13" max="13" width="3.42578125" customWidth="1"/>
    <col min="14" max="14" width="54.42578125" customWidth="1"/>
  </cols>
  <sheetData>
    <row r="1" spans="1:14" ht="61.5" x14ac:dyDescent="0.25">
      <c r="A1" s="11" t="s">
        <v>222</v>
      </c>
    </row>
    <row r="2" spans="1:14" ht="33.75" x14ac:dyDescent="0.25">
      <c r="A2" s="10">
        <v>1</v>
      </c>
    </row>
    <row r="3" spans="1:14" ht="31.5" x14ac:dyDescent="0.5">
      <c r="A3" s="14"/>
      <c r="F3" s="28" t="s">
        <v>212</v>
      </c>
      <c r="G3" s="28"/>
      <c r="H3" s="28"/>
      <c r="I3" s="28"/>
      <c r="J3" s="28"/>
      <c r="K3" s="28"/>
      <c r="L3" s="28"/>
      <c r="M3" s="12"/>
      <c r="N3" s="12" t="s">
        <v>215</v>
      </c>
    </row>
    <row r="4" spans="1:14" x14ac:dyDescent="0.25">
      <c r="F4" s="29" t="s">
        <v>208</v>
      </c>
      <c r="G4" s="30"/>
      <c r="H4" s="31"/>
      <c r="I4" s="2"/>
      <c r="J4" s="28" t="s">
        <v>209</v>
      </c>
      <c r="K4" s="28"/>
      <c r="L4" s="28"/>
      <c r="M4" s="12"/>
      <c r="N4" s="27" t="s">
        <v>216</v>
      </c>
    </row>
    <row r="5" spans="1:14" x14ac:dyDescent="0.25">
      <c r="F5" s="2"/>
      <c r="G5" s="2" t="s">
        <v>204</v>
      </c>
      <c r="H5" s="2"/>
      <c r="I5" s="2"/>
      <c r="J5" s="2"/>
      <c r="K5" s="2" t="s">
        <v>204</v>
      </c>
      <c r="L5" s="2"/>
      <c r="M5" s="2"/>
      <c r="N5" s="27"/>
    </row>
    <row r="6" spans="1:14" x14ac:dyDescent="0.25">
      <c r="F6" s="2" t="s">
        <v>203</v>
      </c>
      <c r="G6" s="2">
        <v>7</v>
      </c>
      <c r="H6" s="2" t="s">
        <v>206</v>
      </c>
      <c r="I6" s="2"/>
      <c r="J6" s="2" t="s">
        <v>203</v>
      </c>
      <c r="K6" s="2">
        <v>7</v>
      </c>
      <c r="L6" s="2" t="s">
        <v>206</v>
      </c>
      <c r="M6" s="2"/>
      <c r="N6" s="27"/>
    </row>
    <row r="7" spans="1:14" x14ac:dyDescent="0.25">
      <c r="F7" s="2" t="s">
        <v>210</v>
      </c>
      <c r="G7" s="2">
        <v>0</v>
      </c>
      <c r="H7" s="2"/>
      <c r="I7" s="2"/>
      <c r="J7" s="2" t="s">
        <v>210</v>
      </c>
      <c r="K7" s="6">
        <v>2</v>
      </c>
      <c r="L7" s="2" t="s">
        <v>211</v>
      </c>
      <c r="M7" s="2"/>
      <c r="N7" s="27"/>
    </row>
    <row r="8" spans="1:14" x14ac:dyDescent="0.25">
      <c r="F8" s="27" t="s">
        <v>205</v>
      </c>
      <c r="G8" s="2">
        <v>15</v>
      </c>
      <c r="H8" s="2" t="s">
        <v>206</v>
      </c>
      <c r="I8" s="2"/>
      <c r="J8" s="27" t="s">
        <v>205</v>
      </c>
      <c r="K8" s="2">
        <v>15</v>
      </c>
      <c r="L8" s="2" t="s">
        <v>206</v>
      </c>
      <c r="M8" s="2"/>
      <c r="N8" s="27"/>
    </row>
    <row r="9" spans="1:14" x14ac:dyDescent="0.25">
      <c r="F9" s="27"/>
      <c r="G9" s="2">
        <v>3</v>
      </c>
      <c r="H9" s="2" t="s">
        <v>206</v>
      </c>
      <c r="I9" s="2"/>
      <c r="J9" s="27"/>
      <c r="K9" s="2">
        <v>3</v>
      </c>
      <c r="L9" s="2" t="s">
        <v>206</v>
      </c>
      <c r="M9" s="2"/>
      <c r="N9" s="27"/>
    </row>
    <row r="10" spans="1:14" x14ac:dyDescent="0.25">
      <c r="F10" s="27"/>
      <c r="G10" s="2">
        <v>5</v>
      </c>
      <c r="H10" s="2" t="s">
        <v>206</v>
      </c>
      <c r="I10" s="2"/>
      <c r="J10" s="27"/>
      <c r="K10" s="2">
        <v>5</v>
      </c>
      <c r="L10" s="2" t="s">
        <v>206</v>
      </c>
      <c r="M10" s="2"/>
      <c r="N10" s="27"/>
    </row>
    <row r="11" spans="1:14" x14ac:dyDescent="0.25">
      <c r="F11" s="27"/>
      <c r="G11" s="2">
        <v>10</v>
      </c>
      <c r="H11" s="2" t="s">
        <v>206</v>
      </c>
      <c r="I11" s="2"/>
      <c r="J11" s="27"/>
      <c r="K11" s="2">
        <v>10</v>
      </c>
      <c r="L11" s="2" t="s">
        <v>206</v>
      </c>
      <c r="M11" s="2"/>
      <c r="N11" s="27"/>
    </row>
    <row r="12" spans="1:14" x14ac:dyDescent="0.25">
      <c r="F12" s="27"/>
      <c r="G12" s="2">
        <v>10</v>
      </c>
      <c r="H12" s="2" t="s">
        <v>206</v>
      </c>
      <c r="I12" s="2"/>
      <c r="J12" s="27"/>
      <c r="K12" s="2">
        <v>10</v>
      </c>
      <c r="L12" s="2" t="s">
        <v>206</v>
      </c>
      <c r="M12" s="2"/>
      <c r="N12" s="27"/>
    </row>
    <row r="13" spans="1:14" x14ac:dyDescent="0.25">
      <c r="F13" s="2"/>
      <c r="G13" s="2"/>
      <c r="H13" s="2"/>
      <c r="I13" s="2"/>
      <c r="J13" s="2"/>
      <c r="K13" s="2"/>
      <c r="L13" s="2"/>
      <c r="M13" s="2"/>
      <c r="N13" s="27"/>
    </row>
    <row r="14" spans="1:14" x14ac:dyDescent="0.25">
      <c r="F14" s="2" t="s">
        <v>207</v>
      </c>
      <c r="G14" s="2">
        <f>SUM(G6:G12)</f>
        <v>50</v>
      </c>
      <c r="H14" s="2"/>
      <c r="I14" s="2"/>
      <c r="J14" s="2"/>
      <c r="K14" s="2">
        <f>SUM(K6:K12)</f>
        <v>52</v>
      </c>
      <c r="L14" s="2"/>
      <c r="M14" s="2"/>
      <c r="N14" s="27"/>
    </row>
    <row r="15" spans="1:14" x14ac:dyDescent="0.25">
      <c r="F15" s="2" t="s">
        <v>213</v>
      </c>
      <c r="G15" s="2">
        <v>0</v>
      </c>
      <c r="H15" s="2"/>
      <c r="I15" s="2"/>
      <c r="J15" s="2"/>
      <c r="K15" s="13" t="s">
        <v>214</v>
      </c>
      <c r="L15" s="2"/>
      <c r="M15" s="2"/>
      <c r="N15" s="27"/>
    </row>
  </sheetData>
  <mergeCells count="6">
    <mergeCell ref="F8:F12"/>
    <mergeCell ref="J8:J12"/>
    <mergeCell ref="J4:L4"/>
    <mergeCell ref="F3:L3"/>
    <mergeCell ref="N4:N15"/>
    <mergeCell ref="F4:H4"/>
  </mergeCells>
  <pageMargins left="3.937007874015748E-2" right="3.937007874015748E-2" top="0.19685039370078741" bottom="0.19685039370078741" header="0.11811023622047245" footer="0.11811023622047245"/>
  <pageSetup paperSize="260" scale="89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1"/>
  <sheetViews>
    <sheetView workbookViewId="0">
      <selection activeCell="N32" sqref="N32"/>
    </sheetView>
  </sheetViews>
  <sheetFormatPr defaultRowHeight="15" x14ac:dyDescent="0.25"/>
  <sheetData>
    <row r="1" spans="1:17" x14ac:dyDescent="0.25">
      <c r="A1" s="2"/>
      <c r="B1" s="2"/>
      <c r="C1" s="2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38</v>
      </c>
      <c r="N1" s="2" t="s">
        <v>39</v>
      </c>
      <c r="O1" s="2" t="s">
        <v>54</v>
      </c>
      <c r="P1" s="2" t="s">
        <v>55</v>
      </c>
      <c r="Q1" s="2" t="s">
        <v>56</v>
      </c>
    </row>
    <row r="2" spans="1:17" x14ac:dyDescent="0.25">
      <c r="A2" s="2"/>
      <c r="B2" s="2"/>
      <c r="C2" s="2">
        <v>9500</v>
      </c>
      <c r="D2" s="2">
        <v>1000</v>
      </c>
      <c r="E2" s="2">
        <v>1000</v>
      </c>
      <c r="F2" s="2">
        <v>2000</v>
      </c>
      <c r="G2" s="2">
        <v>2000</v>
      </c>
      <c r="H2" s="2">
        <v>2000</v>
      </c>
      <c r="I2" s="2">
        <v>500</v>
      </c>
      <c r="J2" s="2">
        <v>600</v>
      </c>
      <c r="K2" s="2">
        <v>12</v>
      </c>
      <c r="L2" s="5">
        <v>23</v>
      </c>
      <c r="M2" s="5">
        <v>25</v>
      </c>
      <c r="N2" s="5">
        <v>26</v>
      </c>
      <c r="O2" s="4">
        <v>55</v>
      </c>
      <c r="P2" s="4">
        <v>40</v>
      </c>
      <c r="Q2" s="4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>
        <f>C2*M2/N2</f>
        <v>9134.6153846153848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>
        <f>SUM(D2:I2)</f>
        <v>8500</v>
      </c>
      <c r="B5" s="2">
        <f>(D2+E2+F2+G2+H2+I2)*M2/N2+(K2*L2)</f>
        <v>8449.076923076922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3" t="s">
        <v>50</v>
      </c>
      <c r="B6" s="3">
        <f>((C2+D2+E2)/N2/8)*O2*1.5</f>
        <v>4561.2980769230771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3" t="s">
        <v>51</v>
      </c>
      <c r="B7" s="3">
        <f>((C2+D2+E2)/N2/8)*P2*2</f>
        <v>4423.0769230769229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3" t="s">
        <v>52</v>
      </c>
      <c r="B8" s="3">
        <f>((C2+D2+E2)/N2/8)*Q2*3</f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3" t="s">
        <v>53</v>
      </c>
      <c r="B9" s="2">
        <f>B6+B7+B8</f>
        <v>8984.375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 t="s">
        <v>38</v>
      </c>
      <c r="B11" s="6">
        <f>B4+B5+B9+J2</f>
        <v>27168.067307692305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22"/>
  <sheetViews>
    <sheetView workbookViewId="0">
      <selection activeCell="Q29" sqref="Q29"/>
    </sheetView>
  </sheetViews>
  <sheetFormatPr defaultRowHeight="15" x14ac:dyDescent="0.25"/>
  <cols>
    <col min="2" max="2" width="18" customWidth="1"/>
    <col min="4" max="4" width="21.28515625" customWidth="1"/>
    <col min="5" max="5" width="12" customWidth="1"/>
    <col min="6" max="6" width="9.140625" style="17"/>
    <col min="7" max="7" width="8.5703125" customWidth="1"/>
    <col min="8" max="8" width="9.5703125" style="17" customWidth="1"/>
    <col min="9" max="9" width="12.7109375" customWidth="1"/>
  </cols>
  <sheetData>
    <row r="1" spans="2:8" x14ac:dyDescent="0.25">
      <c r="G1" s="35" t="s">
        <v>242</v>
      </c>
      <c r="H1" s="35"/>
    </row>
    <row r="2" spans="2:8" x14ac:dyDescent="0.25">
      <c r="B2" s="2"/>
      <c r="C2" s="2" t="s">
        <v>232</v>
      </c>
      <c r="D2" s="2" t="s">
        <v>235</v>
      </c>
      <c r="E2" s="2" t="s">
        <v>236</v>
      </c>
      <c r="F2" s="16" t="s">
        <v>237</v>
      </c>
      <c r="G2" s="18" t="s">
        <v>232</v>
      </c>
      <c r="H2" s="19" t="s">
        <v>241</v>
      </c>
    </row>
    <row r="3" spans="2:8" x14ac:dyDescent="0.25">
      <c r="B3" s="38" t="s">
        <v>226</v>
      </c>
      <c r="C3" s="3" t="s">
        <v>227</v>
      </c>
      <c r="D3" s="3">
        <v>20</v>
      </c>
      <c r="E3" s="34">
        <v>3</v>
      </c>
      <c r="F3" s="36" t="s">
        <v>240</v>
      </c>
      <c r="G3" s="2">
        <v>100000</v>
      </c>
      <c r="H3" s="27">
        <v>60</v>
      </c>
    </row>
    <row r="4" spans="2:8" x14ac:dyDescent="0.25">
      <c r="B4" s="39"/>
      <c r="C4" s="3" t="s">
        <v>228</v>
      </c>
      <c r="D4" s="3">
        <v>10</v>
      </c>
      <c r="E4" s="34"/>
      <c r="F4" s="37"/>
      <c r="G4" s="2">
        <v>50000</v>
      </c>
      <c r="H4" s="27"/>
    </row>
    <row r="5" spans="2:8" x14ac:dyDescent="0.25">
      <c r="B5" s="40"/>
      <c r="C5" s="2" t="s">
        <v>227</v>
      </c>
      <c r="D5" s="2">
        <v>15</v>
      </c>
      <c r="E5" s="15">
        <v>1.5</v>
      </c>
      <c r="F5" s="16" t="s">
        <v>238</v>
      </c>
      <c r="G5" s="2">
        <v>50000</v>
      </c>
      <c r="H5" s="16">
        <v>40</v>
      </c>
    </row>
    <row r="6" spans="2:8" x14ac:dyDescent="0.25">
      <c r="B6" s="38" t="s">
        <v>229</v>
      </c>
      <c r="C6" s="3" t="s">
        <v>230</v>
      </c>
      <c r="D6" s="3">
        <v>20</v>
      </c>
      <c r="E6" s="34">
        <v>3.5</v>
      </c>
      <c r="F6" s="36" t="s">
        <v>240</v>
      </c>
      <c r="G6" s="2">
        <v>100000</v>
      </c>
      <c r="H6" s="27">
        <v>60</v>
      </c>
    </row>
    <row r="7" spans="2:8" x14ac:dyDescent="0.25">
      <c r="B7" s="39"/>
      <c r="C7" s="3" t="s">
        <v>231</v>
      </c>
      <c r="D7" s="3">
        <v>10</v>
      </c>
      <c r="E7" s="34"/>
      <c r="F7" s="37"/>
      <c r="G7" s="2">
        <v>50000</v>
      </c>
      <c r="H7" s="27"/>
    </row>
    <row r="8" spans="2:8" x14ac:dyDescent="0.25">
      <c r="B8" s="40"/>
      <c r="C8" s="2" t="s">
        <v>230</v>
      </c>
      <c r="D8" s="2">
        <v>15</v>
      </c>
      <c r="E8" s="15">
        <v>1.5</v>
      </c>
      <c r="F8" s="16" t="s">
        <v>238</v>
      </c>
      <c r="G8" s="2">
        <v>50000</v>
      </c>
      <c r="H8" s="16">
        <v>40</v>
      </c>
    </row>
    <row r="9" spans="2:8" x14ac:dyDescent="0.25">
      <c r="B9" s="27" t="s">
        <v>233</v>
      </c>
      <c r="C9" s="32" t="s">
        <v>234</v>
      </c>
      <c r="D9" s="33">
        <v>60</v>
      </c>
      <c r="E9" s="16">
        <v>5.5</v>
      </c>
      <c r="F9" s="16" t="s">
        <v>238</v>
      </c>
      <c r="G9" s="2">
        <v>130000</v>
      </c>
      <c r="H9" s="27">
        <v>60</v>
      </c>
    </row>
    <row r="10" spans="2:8" x14ac:dyDescent="0.25">
      <c r="B10" s="27"/>
      <c r="C10" s="32"/>
      <c r="D10" s="33"/>
      <c r="E10" s="16">
        <v>6.5</v>
      </c>
      <c r="F10" s="16" t="s">
        <v>239</v>
      </c>
      <c r="G10" s="2">
        <v>130000</v>
      </c>
      <c r="H10" s="27"/>
    </row>
    <row r="19" spans="9:14" x14ac:dyDescent="0.25">
      <c r="I19" s="2" t="s">
        <v>317</v>
      </c>
      <c r="J19" s="2">
        <v>30</v>
      </c>
      <c r="K19" s="2">
        <v>60</v>
      </c>
      <c r="L19" s="2">
        <v>90</v>
      </c>
      <c r="M19" s="2">
        <v>120</v>
      </c>
      <c r="N19" s="2"/>
    </row>
    <row r="20" spans="9:14" x14ac:dyDescent="0.25">
      <c r="I20" s="2" t="s">
        <v>318</v>
      </c>
      <c r="J20" s="24">
        <f>'dye2 (30)'!C123</f>
        <v>4428.2803850000018</v>
      </c>
      <c r="K20" s="24" t="e">
        <f>#REF!</f>
        <v>#REF!</v>
      </c>
      <c r="L20" s="24" t="e">
        <f>#REF!</f>
        <v>#REF!</v>
      </c>
      <c r="M20" s="24" t="e">
        <f>#REF!</f>
        <v>#REF!</v>
      </c>
      <c r="N20" s="2" t="s">
        <v>270</v>
      </c>
    </row>
    <row r="21" spans="9:14" x14ac:dyDescent="0.25">
      <c r="I21" s="2" t="s">
        <v>319</v>
      </c>
      <c r="J21" s="25">
        <f>J20</f>
        <v>4428.2803850000018</v>
      </c>
      <c r="K21" s="25" t="e">
        <f>K20-J20</f>
        <v>#REF!</v>
      </c>
      <c r="L21" s="25" t="e">
        <f>L20-K20</f>
        <v>#REF!</v>
      </c>
      <c r="M21" s="25" t="e">
        <f>M20-L20</f>
        <v>#REF!</v>
      </c>
      <c r="N21" s="2" t="s">
        <v>270</v>
      </c>
    </row>
    <row r="22" spans="9:14" x14ac:dyDescent="0.25">
      <c r="I22" s="2" t="s">
        <v>320</v>
      </c>
      <c r="J22" s="26" t="s">
        <v>316</v>
      </c>
      <c r="K22" s="26" t="s">
        <v>321</v>
      </c>
      <c r="L22" s="26" t="s">
        <v>322</v>
      </c>
      <c r="M22" s="26" t="s">
        <v>323</v>
      </c>
      <c r="N22" s="2"/>
    </row>
  </sheetData>
  <mergeCells count="13">
    <mergeCell ref="G1:H1"/>
    <mergeCell ref="F3:F4"/>
    <mergeCell ref="F6:F7"/>
    <mergeCell ref="B6:B8"/>
    <mergeCell ref="B3:B5"/>
    <mergeCell ref="H9:H10"/>
    <mergeCell ref="H6:H7"/>
    <mergeCell ref="H3:H4"/>
    <mergeCell ref="B9:B10"/>
    <mergeCell ref="C9:C10"/>
    <mergeCell ref="D9:D10"/>
    <mergeCell ref="E3:E4"/>
    <mergeCell ref="E6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dye</vt:lpstr>
      <vt:lpstr>dye2</vt:lpstr>
      <vt:lpstr>dye2 (30)</vt:lpstr>
      <vt:lpstr>THIẾT BỊ CÂN LIỆU</vt:lpstr>
      <vt:lpstr>dye3</vt:lpstr>
      <vt:lpstr>IN TEM</vt:lpstr>
      <vt:lpstr>bảng tính lương</vt:lpstr>
      <vt:lpstr>Sheet1</vt:lpstr>
      <vt:lpstr>'IN TEM'!Print_Area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NHUỘM ĐAI 024</dc:creator>
  <cp:lastModifiedBy>VN-DF NHUỘM ĐAI 024</cp:lastModifiedBy>
  <cp:lastPrinted>2026-06-17T06:47:32Z</cp:lastPrinted>
  <dcterms:created xsi:type="dcterms:W3CDTF">2026-04-24T10:20:44Z</dcterms:created>
  <dcterms:modified xsi:type="dcterms:W3CDTF">2026-07-15T01:23:58Z</dcterms:modified>
</cp:coreProperties>
</file>
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VNDF024\Desktop\"/>
    </mc:Choice>
  </mc:AlternateContent>
  <xr:revisionPtr revIDLastSave="0" documentId="13_ncr:1_{2097C46B-A35B-4882-843F-44989D66172E}" xr6:coauthVersionLast="47" xr6:coauthVersionMax="47" xr10:uidLastSave="{00000000-0000-0000-0000-000000000000}"/>
  <bookViews>
    <workbookView xWindow="-120" yWindow="-120" windowWidth="29040" windowHeight="15720" xr2:uid="{46B652EC-39A7-49F0-B5C1-8F4D9FFB21F0}"/>
  </bookViews>
  <sheets>
    <sheet name="Sheet1" sheetId="1" r:id="rId1"/>
    <sheet name="Sheet2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8" i="1" l="1"/>
  <c r="I9" i="1" s="1"/>
  <c r="I10" i="1" s="1"/>
  <c r="I11" i="1" s="1"/>
  <c r="K8" i="1"/>
  <c r="K9" i="1" s="1"/>
  <c r="K10" i="1" s="1"/>
  <c r="K11" i="1" s="1"/>
  <c r="L8" i="1"/>
  <c r="L9" i="1" s="1"/>
  <c r="L10" i="1" s="1"/>
  <c r="L11" i="1" s="1"/>
  <c r="M8" i="1"/>
  <c r="M9" i="1" s="1"/>
  <c r="M10" i="1" s="1"/>
  <c r="M11" i="1" s="1"/>
  <c r="U8" i="1"/>
  <c r="U9" i="1" s="1"/>
  <c r="U10" i="1" s="1"/>
  <c r="U11" i="1" s="1"/>
  <c r="D6" i="1"/>
  <c r="D7" i="1" s="1"/>
  <c r="D8" i="1" s="1"/>
  <c r="D9" i="1" s="1"/>
  <c r="D10" i="1" s="1"/>
  <c r="D11" i="1" s="1"/>
  <c r="E6" i="1"/>
  <c r="E7" i="1" s="1"/>
  <c r="E8" i="1" s="1"/>
  <c r="E9" i="1" s="1"/>
  <c r="E10" i="1" s="1"/>
  <c r="E11" i="1" s="1"/>
  <c r="F6" i="1"/>
  <c r="F7" i="1" s="1"/>
  <c r="F8" i="1" s="1"/>
  <c r="F9" i="1" s="1"/>
  <c r="F10" i="1" s="1"/>
  <c r="F11" i="1" s="1"/>
  <c r="G6" i="1"/>
  <c r="G7" i="1" s="1"/>
  <c r="G8" i="1" s="1"/>
  <c r="G9" i="1" s="1"/>
  <c r="G10" i="1" s="1"/>
  <c r="G11" i="1" s="1"/>
  <c r="I6" i="1"/>
  <c r="K6" i="1"/>
  <c r="L6" i="1"/>
  <c r="L7" i="1" s="1"/>
  <c r="M6" i="1"/>
  <c r="M7" i="1" s="1"/>
  <c r="N6" i="1"/>
  <c r="N7" i="1" s="1"/>
  <c r="N8" i="1" s="1"/>
  <c r="N9" i="1" s="1"/>
  <c r="N10" i="1" s="1"/>
  <c r="N11" i="1" s="1"/>
  <c r="O6" i="1"/>
  <c r="O7" i="1" s="1"/>
  <c r="O8" i="1" s="1"/>
  <c r="O9" i="1" s="1"/>
  <c r="O10" i="1" s="1"/>
  <c r="O11" i="1" s="1"/>
  <c r="P6" i="1"/>
  <c r="Q6" i="1"/>
  <c r="Q7" i="1" s="1"/>
  <c r="Q8" i="1" s="1"/>
  <c r="Q9" i="1" s="1"/>
  <c r="Q10" i="1" s="1"/>
  <c r="Q11" i="1" s="1"/>
  <c r="R6" i="1"/>
  <c r="S6" i="1"/>
  <c r="U6" i="1"/>
  <c r="W6" i="1"/>
  <c r="X6" i="1"/>
  <c r="X7" i="1" s="1"/>
  <c r="Y6" i="1"/>
  <c r="Y7" i="1" s="1"/>
  <c r="Z6" i="1"/>
  <c r="Z7" i="1" s="1"/>
  <c r="AA6" i="1"/>
  <c r="AA7" i="1" s="1"/>
  <c r="AB6" i="1"/>
  <c r="AB7" i="1" s="1"/>
  <c r="AC6" i="1"/>
  <c r="AC7" i="1" s="1"/>
  <c r="AD6" i="1"/>
  <c r="AD7" i="1" s="1"/>
  <c r="AE6" i="1"/>
  <c r="AE7" i="1" s="1"/>
  <c r="I7" i="1"/>
  <c r="K7" i="1"/>
  <c r="P7" i="1"/>
  <c r="P8" i="1" s="1"/>
  <c r="P9" i="1" s="1"/>
  <c r="P10" i="1" s="1"/>
  <c r="P11" i="1" s="1"/>
  <c r="R7" i="1"/>
  <c r="R8" i="1" s="1"/>
  <c r="R9" i="1" s="1"/>
  <c r="R10" i="1" s="1"/>
  <c r="R11" i="1" s="1"/>
  <c r="S7" i="1"/>
  <c r="S8" i="1" s="1"/>
  <c r="S9" i="1" s="1"/>
  <c r="S10" i="1" s="1"/>
  <c r="S11" i="1" s="1"/>
  <c r="U7" i="1"/>
  <c r="W7" i="1"/>
  <c r="E5" i="1"/>
  <c r="F5" i="1"/>
  <c r="G5" i="1"/>
  <c r="H5" i="1"/>
  <c r="H6" i="1" s="1"/>
  <c r="H7" i="1" s="1"/>
  <c r="H8" i="1" s="1"/>
  <c r="H9" i="1" s="1"/>
  <c r="H10" i="1" s="1"/>
  <c r="H11" i="1" s="1"/>
  <c r="I5" i="1"/>
  <c r="J5" i="1"/>
  <c r="J6" i="1" s="1"/>
  <c r="J7" i="1" s="1"/>
  <c r="J8" i="1" s="1"/>
  <c r="J9" i="1" s="1"/>
  <c r="J10" i="1" s="1"/>
  <c r="J11" i="1" s="1"/>
  <c r="K5" i="1"/>
  <c r="L5" i="1"/>
  <c r="M5" i="1"/>
  <c r="N5" i="1"/>
  <c r="O5" i="1"/>
  <c r="P5" i="1"/>
  <c r="Q5" i="1"/>
  <c r="R5" i="1"/>
  <c r="S5" i="1"/>
  <c r="T5" i="1"/>
  <c r="T6" i="1" s="1"/>
  <c r="T7" i="1" s="1"/>
  <c r="T8" i="1" s="1"/>
  <c r="T9" i="1" s="1"/>
  <c r="T10" i="1" s="1"/>
  <c r="T11" i="1" s="1"/>
  <c r="U5" i="1"/>
  <c r="V5" i="1"/>
  <c r="V6" i="1" s="1"/>
  <c r="V7" i="1" s="1"/>
  <c r="W5" i="1"/>
  <c r="X5" i="1"/>
  <c r="Y5" i="1"/>
  <c r="Z5" i="1"/>
  <c r="AA5" i="1"/>
  <c r="AB5" i="1"/>
  <c r="AC5" i="1"/>
  <c r="AD5" i="1"/>
  <c r="AE5" i="1"/>
  <c r="D5" i="1"/>
  <c r="G22" i="1"/>
  <c r="H22" i="1"/>
  <c r="I22" i="1"/>
  <c r="J22" i="1"/>
  <c r="K22" i="1"/>
  <c r="L22" i="1"/>
  <c r="M22" i="1"/>
  <c r="N22" i="1"/>
  <c r="N23" i="1" s="1"/>
  <c r="N24" i="1" s="1"/>
  <c r="N25" i="1" s="1"/>
  <c r="N26" i="1" s="1"/>
  <c r="N27" i="1" s="1"/>
  <c r="S22" i="1"/>
  <c r="S23" i="1" s="1"/>
  <c r="S24" i="1" s="1"/>
  <c r="S25" i="1" s="1"/>
  <c r="S26" i="1" s="1"/>
  <c r="S27" i="1" s="1"/>
  <c r="T22" i="1"/>
  <c r="T23" i="1" s="1"/>
  <c r="T24" i="1" s="1"/>
  <c r="T25" i="1" s="1"/>
  <c r="T26" i="1" s="1"/>
  <c r="T27" i="1" s="1"/>
  <c r="U22" i="1"/>
  <c r="U23" i="1" s="1"/>
  <c r="U24" i="1" s="1"/>
  <c r="U25" i="1" s="1"/>
  <c r="U26" i="1" s="1"/>
  <c r="U27" i="1" s="1"/>
  <c r="V22" i="1"/>
  <c r="V23" i="1" s="1"/>
  <c r="V24" i="1" s="1"/>
  <c r="V25" i="1" s="1"/>
  <c r="V26" i="1" s="1"/>
  <c r="V27" i="1" s="1"/>
  <c r="W22" i="1"/>
  <c r="W23" i="1" s="1"/>
  <c r="W24" i="1" s="1"/>
  <c r="W25" i="1" s="1"/>
  <c r="W26" i="1" s="1"/>
  <c r="W27" i="1" s="1"/>
  <c r="X22" i="1"/>
  <c r="X23" i="1" s="1"/>
  <c r="X24" i="1" s="1"/>
  <c r="X25" i="1" s="1"/>
  <c r="X26" i="1" s="1"/>
  <c r="X27" i="1" s="1"/>
  <c r="Y22" i="1"/>
  <c r="Y23" i="1" s="1"/>
  <c r="Y24" i="1" s="1"/>
  <c r="Y25" i="1" s="1"/>
  <c r="Y26" i="1" s="1"/>
  <c r="Y27" i="1" s="1"/>
  <c r="Z22" i="1"/>
  <c r="Z23" i="1" s="1"/>
  <c r="Z24" i="1" s="1"/>
  <c r="Z25" i="1" s="1"/>
  <c r="Z26" i="1" s="1"/>
  <c r="Z27" i="1" s="1"/>
  <c r="AE22" i="1"/>
  <c r="G23" i="1"/>
  <c r="H23" i="1"/>
  <c r="I23" i="1"/>
  <c r="I24" i="1" s="1"/>
  <c r="I25" i="1" s="1"/>
  <c r="I26" i="1" s="1"/>
  <c r="I27" i="1" s="1"/>
  <c r="J23" i="1"/>
  <c r="J24" i="1" s="1"/>
  <c r="J25" i="1" s="1"/>
  <c r="J26" i="1" s="1"/>
  <c r="J27" i="1" s="1"/>
  <c r="K23" i="1"/>
  <c r="K24" i="1" s="1"/>
  <c r="K25" i="1" s="1"/>
  <c r="K26" i="1" s="1"/>
  <c r="K27" i="1" s="1"/>
  <c r="L23" i="1"/>
  <c r="L24" i="1" s="1"/>
  <c r="L25" i="1" s="1"/>
  <c r="L26" i="1" s="1"/>
  <c r="L27" i="1" s="1"/>
  <c r="M23" i="1"/>
  <c r="M24" i="1" s="1"/>
  <c r="M25" i="1" s="1"/>
  <c r="M26" i="1" s="1"/>
  <c r="M27" i="1" s="1"/>
  <c r="AE23" i="1"/>
  <c r="AE24" i="1" s="1"/>
  <c r="AE25" i="1" s="1"/>
  <c r="AE26" i="1" s="1"/>
  <c r="AE27" i="1" s="1"/>
  <c r="G24" i="1"/>
  <c r="G25" i="1" s="1"/>
  <c r="G26" i="1" s="1"/>
  <c r="G27" i="1" s="1"/>
  <c r="H24" i="1"/>
  <c r="H25" i="1" s="1"/>
  <c r="H26" i="1" s="1"/>
  <c r="H27" i="1" s="1"/>
  <c r="E21" i="1"/>
  <c r="E22" i="1" s="1"/>
  <c r="E23" i="1" s="1"/>
  <c r="E24" i="1" s="1"/>
  <c r="E25" i="1" s="1"/>
  <c r="E26" i="1" s="1"/>
  <c r="E27" i="1" s="1"/>
  <c r="F21" i="1"/>
  <c r="F22" i="1" s="1"/>
  <c r="F23" i="1" s="1"/>
  <c r="F24" i="1" s="1"/>
  <c r="F25" i="1" s="1"/>
  <c r="F26" i="1" s="1"/>
  <c r="F27" i="1" s="1"/>
  <c r="G21" i="1"/>
  <c r="H21" i="1"/>
  <c r="I21" i="1"/>
  <c r="J21" i="1"/>
  <c r="K21" i="1"/>
  <c r="L21" i="1"/>
  <c r="M21" i="1"/>
  <c r="N21" i="1"/>
  <c r="O21" i="1"/>
  <c r="O22" i="1" s="1"/>
  <c r="O23" i="1" s="1"/>
  <c r="O24" i="1" s="1"/>
  <c r="O25" i="1" s="1"/>
  <c r="O26" i="1" s="1"/>
  <c r="O27" i="1" s="1"/>
  <c r="P21" i="1"/>
  <c r="P22" i="1" s="1"/>
  <c r="P23" i="1" s="1"/>
  <c r="P24" i="1" s="1"/>
  <c r="P25" i="1" s="1"/>
  <c r="P26" i="1" s="1"/>
  <c r="P27" i="1" s="1"/>
  <c r="Q21" i="1"/>
  <c r="Q22" i="1" s="1"/>
  <c r="Q23" i="1" s="1"/>
  <c r="Q24" i="1" s="1"/>
  <c r="Q25" i="1" s="1"/>
  <c r="Q26" i="1" s="1"/>
  <c r="Q27" i="1" s="1"/>
  <c r="R21" i="1"/>
  <c r="R22" i="1" s="1"/>
  <c r="R23" i="1" s="1"/>
  <c r="R24" i="1" s="1"/>
  <c r="R25" i="1" s="1"/>
  <c r="R26" i="1" s="1"/>
  <c r="R27" i="1" s="1"/>
  <c r="S21" i="1"/>
  <c r="T21" i="1"/>
  <c r="U21" i="1"/>
  <c r="V21" i="1"/>
  <c r="W21" i="1"/>
  <c r="X21" i="1"/>
  <c r="Y21" i="1"/>
  <c r="Z21" i="1"/>
  <c r="AA21" i="1"/>
  <c r="AA22" i="1" s="1"/>
  <c r="AA23" i="1" s="1"/>
  <c r="AA24" i="1" s="1"/>
  <c r="AA25" i="1" s="1"/>
  <c r="AA26" i="1" s="1"/>
  <c r="AA27" i="1" s="1"/>
  <c r="AB21" i="1"/>
  <c r="AB22" i="1" s="1"/>
  <c r="AB23" i="1" s="1"/>
  <c r="AB24" i="1" s="1"/>
  <c r="AB25" i="1" s="1"/>
  <c r="AB26" i="1" s="1"/>
  <c r="AB27" i="1" s="1"/>
  <c r="AC21" i="1"/>
  <c r="AC22" i="1" s="1"/>
  <c r="AC23" i="1" s="1"/>
  <c r="AC24" i="1" s="1"/>
  <c r="AC25" i="1" s="1"/>
  <c r="AC26" i="1" s="1"/>
  <c r="AC27" i="1" s="1"/>
  <c r="AD21" i="1"/>
  <c r="AD22" i="1" s="1"/>
  <c r="AD23" i="1" s="1"/>
  <c r="AD24" i="1" s="1"/>
  <c r="AD25" i="1" s="1"/>
  <c r="AD26" i="1" s="1"/>
  <c r="AD27" i="1" s="1"/>
  <c r="AE21" i="1"/>
  <c r="D21" i="1"/>
  <c r="D22" i="1" s="1"/>
  <c r="D23" i="1" s="1"/>
  <c r="D24" i="1" s="1"/>
  <c r="D25" i="1" s="1"/>
  <c r="D26" i="1" s="1"/>
  <c r="D27" i="1" s="1"/>
  <c r="E14" i="1"/>
  <c r="F14" i="1"/>
  <c r="G14" i="1"/>
  <c r="H14" i="1"/>
  <c r="H15" i="1" s="1"/>
  <c r="H16" i="1" s="1"/>
  <c r="H17" i="1" s="1"/>
  <c r="H18" i="1" s="1"/>
  <c r="H19" i="1" s="1"/>
  <c r="I14" i="1"/>
  <c r="I15" i="1" s="1"/>
  <c r="I16" i="1" s="1"/>
  <c r="I17" i="1" s="1"/>
  <c r="I18" i="1" s="1"/>
  <c r="I19" i="1" s="1"/>
  <c r="J14" i="1"/>
  <c r="J15" i="1" s="1"/>
  <c r="J16" i="1" s="1"/>
  <c r="J17" i="1" s="1"/>
  <c r="J18" i="1" s="1"/>
  <c r="J19" i="1" s="1"/>
  <c r="K14" i="1"/>
  <c r="K15" i="1" s="1"/>
  <c r="K16" i="1" s="1"/>
  <c r="K17" i="1" s="1"/>
  <c r="K18" i="1" s="1"/>
  <c r="K19" i="1" s="1"/>
  <c r="M14" i="1"/>
  <c r="M15" i="1" s="1"/>
  <c r="M16" i="1" s="1"/>
  <c r="M17" i="1" s="1"/>
  <c r="M18" i="1" s="1"/>
  <c r="M19" i="1" s="1"/>
  <c r="O14" i="1"/>
  <c r="O15" i="1" s="1"/>
  <c r="O16" i="1" s="1"/>
  <c r="O17" i="1" s="1"/>
  <c r="O18" i="1" s="1"/>
  <c r="O19" i="1" s="1"/>
  <c r="P14" i="1"/>
  <c r="Q14" i="1"/>
  <c r="R14" i="1"/>
  <c r="R15" i="1" s="1"/>
  <c r="R16" i="1" s="1"/>
  <c r="R17" i="1" s="1"/>
  <c r="R18" i="1" s="1"/>
  <c r="R19" i="1" s="1"/>
  <c r="S14" i="1"/>
  <c r="S15" i="1" s="1"/>
  <c r="S16" i="1" s="1"/>
  <c r="S17" i="1" s="1"/>
  <c r="S18" i="1" s="1"/>
  <c r="S19" i="1" s="1"/>
  <c r="T14" i="1"/>
  <c r="U14" i="1"/>
  <c r="V14" i="1"/>
  <c r="W14" i="1"/>
  <c r="Y14" i="1"/>
  <c r="Y15" i="1" s="1"/>
  <c r="Y16" i="1" s="1"/>
  <c r="Y17" i="1" s="1"/>
  <c r="Y18" i="1" s="1"/>
  <c r="Y19" i="1" s="1"/>
  <c r="AA14" i="1"/>
  <c r="AA15" i="1" s="1"/>
  <c r="AA16" i="1" s="1"/>
  <c r="AA17" i="1" s="1"/>
  <c r="AA18" i="1" s="1"/>
  <c r="AA19" i="1" s="1"/>
  <c r="AB14" i="1"/>
  <c r="AB15" i="1" s="1"/>
  <c r="AB16" i="1" s="1"/>
  <c r="AB17" i="1" s="1"/>
  <c r="AB18" i="1" s="1"/>
  <c r="AB19" i="1" s="1"/>
  <c r="AC14" i="1"/>
  <c r="AC15" i="1" s="1"/>
  <c r="AC16" i="1" s="1"/>
  <c r="AC17" i="1" s="1"/>
  <c r="AC18" i="1" s="1"/>
  <c r="AC19" i="1" s="1"/>
  <c r="AD14" i="1"/>
  <c r="AD15" i="1" s="1"/>
  <c r="AD16" i="1" s="1"/>
  <c r="AD17" i="1" s="1"/>
  <c r="AD18" i="1" s="1"/>
  <c r="AD19" i="1" s="1"/>
  <c r="AE14" i="1"/>
  <c r="AE15" i="1" s="1"/>
  <c r="AE16" i="1" s="1"/>
  <c r="AE17" i="1" s="1"/>
  <c r="AE18" i="1" s="1"/>
  <c r="AE19" i="1" s="1"/>
  <c r="E15" i="1"/>
  <c r="E16" i="1" s="1"/>
  <c r="E17" i="1" s="1"/>
  <c r="E18" i="1" s="1"/>
  <c r="E19" i="1" s="1"/>
  <c r="F15" i="1"/>
  <c r="F16" i="1" s="1"/>
  <c r="F17" i="1" s="1"/>
  <c r="F18" i="1" s="1"/>
  <c r="F19" i="1" s="1"/>
  <c r="G15" i="1"/>
  <c r="G16" i="1" s="1"/>
  <c r="G17" i="1" s="1"/>
  <c r="G18" i="1" s="1"/>
  <c r="G19" i="1" s="1"/>
  <c r="P15" i="1"/>
  <c r="Q15" i="1"/>
  <c r="T15" i="1"/>
  <c r="T16" i="1" s="1"/>
  <c r="T17" i="1" s="1"/>
  <c r="T18" i="1" s="1"/>
  <c r="T19" i="1" s="1"/>
  <c r="U15" i="1"/>
  <c r="U16" i="1" s="1"/>
  <c r="U17" i="1" s="1"/>
  <c r="U18" i="1" s="1"/>
  <c r="U19" i="1" s="1"/>
  <c r="V15" i="1"/>
  <c r="V16" i="1" s="1"/>
  <c r="V17" i="1" s="1"/>
  <c r="V18" i="1" s="1"/>
  <c r="V19" i="1" s="1"/>
  <c r="W15" i="1"/>
  <c r="W16" i="1" s="1"/>
  <c r="W17" i="1" s="1"/>
  <c r="W18" i="1" s="1"/>
  <c r="W19" i="1" s="1"/>
  <c r="P16" i="1"/>
  <c r="P17" i="1" s="1"/>
  <c r="P18" i="1" s="1"/>
  <c r="P19" i="1" s="1"/>
  <c r="Q16" i="1"/>
  <c r="Q17" i="1" s="1"/>
  <c r="Q18" i="1" s="1"/>
  <c r="Q19" i="1" s="1"/>
  <c r="E13" i="1"/>
  <c r="F13" i="1"/>
  <c r="G13" i="1"/>
  <c r="H13" i="1"/>
  <c r="I13" i="1"/>
  <c r="J13" i="1"/>
  <c r="K13" i="1"/>
  <c r="L13" i="1"/>
  <c r="L14" i="1" s="1"/>
  <c r="L15" i="1" s="1"/>
  <c r="L16" i="1" s="1"/>
  <c r="L17" i="1" s="1"/>
  <c r="L18" i="1" s="1"/>
  <c r="L19" i="1" s="1"/>
  <c r="M13" i="1"/>
  <c r="N13" i="1"/>
  <c r="N14" i="1" s="1"/>
  <c r="N15" i="1" s="1"/>
  <c r="N16" i="1" s="1"/>
  <c r="N17" i="1" s="1"/>
  <c r="N18" i="1" s="1"/>
  <c r="N19" i="1" s="1"/>
  <c r="O13" i="1"/>
  <c r="P13" i="1"/>
  <c r="Q13" i="1"/>
  <c r="R13" i="1"/>
  <c r="S13" i="1"/>
  <c r="T13" i="1"/>
  <c r="U13" i="1"/>
  <c r="V13" i="1"/>
  <c r="W13" i="1"/>
  <c r="X13" i="1"/>
  <c r="X14" i="1" s="1"/>
  <c r="X15" i="1" s="1"/>
  <c r="X16" i="1" s="1"/>
  <c r="X17" i="1" s="1"/>
  <c r="X18" i="1" s="1"/>
  <c r="X19" i="1" s="1"/>
  <c r="Y13" i="1"/>
  <c r="Z13" i="1"/>
  <c r="Z14" i="1" s="1"/>
  <c r="Z15" i="1" s="1"/>
  <c r="Z16" i="1" s="1"/>
  <c r="Z17" i="1" s="1"/>
  <c r="Z18" i="1" s="1"/>
  <c r="Z19" i="1" s="1"/>
  <c r="AA13" i="1"/>
  <c r="AB13" i="1"/>
  <c r="AC13" i="1"/>
  <c r="AD13" i="1"/>
  <c r="AE13" i="1"/>
  <c r="D13" i="1"/>
  <c r="D14" i="1" s="1"/>
  <c r="D15" i="1" s="1"/>
  <c r="D16" i="1" s="1"/>
  <c r="D17" i="1" s="1"/>
  <c r="D18" i="1" s="1"/>
  <c r="D19" i="1" s="1"/>
  <c r="E20" i="1"/>
  <c r="F20" i="1"/>
  <c r="G20" i="1"/>
  <c r="H20" i="1"/>
  <c r="I20" i="1"/>
  <c r="J20" i="1"/>
  <c r="K20" i="1"/>
  <c r="L20" i="1"/>
  <c r="M20" i="1"/>
  <c r="N20" i="1"/>
  <c r="O20" i="1"/>
  <c r="P20" i="1"/>
  <c r="Q20" i="1"/>
  <c r="R20" i="1"/>
  <c r="S20" i="1"/>
  <c r="T20" i="1"/>
  <c r="U20" i="1"/>
  <c r="V20" i="1"/>
  <c r="W20" i="1"/>
  <c r="X20" i="1"/>
  <c r="Y20" i="1"/>
  <c r="Z20" i="1"/>
  <c r="AA20" i="1"/>
  <c r="AB20" i="1"/>
  <c r="AC20" i="1"/>
  <c r="AD20" i="1"/>
  <c r="AE20" i="1"/>
  <c r="E12" i="1"/>
  <c r="F12" i="1"/>
  <c r="G12" i="1"/>
  <c r="H12" i="1"/>
  <c r="I12" i="1"/>
  <c r="J12" i="1"/>
  <c r="K12" i="1"/>
  <c r="L12" i="1"/>
  <c r="M12" i="1"/>
  <c r="N12" i="1"/>
  <c r="O12" i="1"/>
  <c r="P12" i="1"/>
  <c r="Q12" i="1"/>
  <c r="R12" i="1"/>
  <c r="S12" i="1"/>
  <c r="T12" i="1"/>
  <c r="U12" i="1"/>
  <c r="V12" i="1"/>
  <c r="W12" i="1"/>
  <c r="X12" i="1"/>
  <c r="Y12" i="1"/>
  <c r="Z12" i="1"/>
  <c r="AA12" i="1"/>
  <c r="AB12" i="1"/>
  <c r="AC12" i="1"/>
  <c r="AD12" i="1"/>
  <c r="AE12" i="1"/>
  <c r="D20" i="1"/>
  <c r="D12" i="1"/>
  <c r="F4" i="1"/>
  <c r="G4" i="1" s="1"/>
  <c r="H4" i="1" s="1"/>
  <c r="I4" i="1" s="1"/>
  <c r="E4" i="1"/>
  <c r="AF22" i="1"/>
  <c r="AF23" i="1"/>
  <c r="AF24" i="1"/>
  <c r="AF25" i="1"/>
  <c r="AF26" i="1"/>
  <c r="AF27" i="1"/>
  <c r="AF21" i="1"/>
  <c r="AF14" i="1"/>
  <c r="AF15" i="1"/>
  <c r="AF16" i="1"/>
  <c r="AF17" i="1"/>
  <c r="AF18" i="1"/>
  <c r="AF19" i="1"/>
  <c r="AF13" i="1"/>
  <c r="AF6" i="1"/>
  <c r="AF7" i="1"/>
  <c r="AF8" i="1"/>
  <c r="AF9" i="1"/>
  <c r="AF10" i="1"/>
  <c r="AF11" i="1"/>
  <c r="AF5" i="1"/>
  <c r="F29" i="1"/>
  <c r="G29" i="1"/>
  <c r="H29" i="1"/>
  <c r="I29" i="1"/>
  <c r="J29" i="1"/>
  <c r="K29" i="1"/>
  <c r="L29" i="1"/>
  <c r="M29" i="1"/>
  <c r="N29" i="1"/>
  <c r="O29" i="1"/>
  <c r="P29" i="1"/>
  <c r="Q29" i="1"/>
  <c r="R29" i="1"/>
  <c r="S29" i="1"/>
  <c r="T29" i="1"/>
  <c r="U29" i="1"/>
  <c r="V29" i="1"/>
  <c r="W29" i="1"/>
  <c r="X29" i="1"/>
  <c r="Y29" i="1"/>
  <c r="Z29" i="1"/>
  <c r="AA29" i="1"/>
  <c r="AB29" i="1"/>
  <c r="AC29" i="1"/>
  <c r="AD29" i="1"/>
  <c r="AE29" i="1"/>
  <c r="E29" i="1"/>
  <c r="C31" i="1"/>
  <c r="C32" i="1"/>
  <c r="C33" i="1"/>
  <c r="C34" i="1"/>
  <c r="C35" i="1"/>
  <c r="C36" i="1"/>
  <c r="C30" i="1"/>
  <c r="D8" i="2"/>
  <c r="J4" i="1" l="1"/>
  <c r="D9" i="2"/>
  <c r="K4" i="1" l="1"/>
  <c r="L4" i="1" l="1"/>
  <c r="M4" i="1" l="1"/>
  <c r="N4" i="1" l="1"/>
  <c r="O4" i="1" l="1"/>
  <c r="P4" i="1" l="1"/>
  <c r="Q4" i="1" l="1"/>
  <c r="R4" i="1" l="1"/>
  <c r="S4" i="1" l="1"/>
  <c r="T4" i="1" l="1"/>
  <c r="U4" i="1" l="1"/>
  <c r="V4" i="1" l="1"/>
  <c r="W4" i="1" l="1"/>
  <c r="X4" i="1" l="1"/>
  <c r="Y4" i="1" l="1"/>
  <c r="Z4" i="1" l="1"/>
  <c r="AA4" i="1" l="1"/>
  <c r="AB4" i="1" l="1"/>
  <c r="AC4" i="1" l="1"/>
  <c r="AD4" i="1" l="1"/>
  <c r="AE4" i="1" l="1"/>
</calcChain>
</file>

<file path=xl/sharedStrings.xml><?xml version="1.0" encoding="utf-8"?>
<sst xmlns="http://schemas.openxmlformats.org/spreadsheetml/2006/main" count="52" uniqueCount="25">
  <si>
    <t>NA</t>
  </si>
  <si>
    <t xml:space="preserve">tham số gia tăng dây đai
参数增加条数 </t>
  </si>
  <si>
    <t>độ rộng 宽度</t>
  </si>
  <si>
    <t xml:space="preserve">phân loại
分类 </t>
  </si>
  <si>
    <t>SF5415</t>
  </si>
  <si>
    <t>L11040</t>
  </si>
  <si>
    <t>T7038</t>
  </si>
  <si>
    <t>色号</t>
  </si>
  <si>
    <t>货号</t>
  </si>
  <si>
    <t>条数</t>
  </si>
  <si>
    <t>宽度 - SPECIFICATIONS</t>
  </si>
  <si>
    <t>DANCER PRESSURE DYE TANK</t>
  </si>
  <si>
    <t>DANCER PRESSURE STEAMER</t>
  </si>
  <si>
    <t>A</t>
  </si>
  <si>
    <t>B</t>
  </si>
  <si>
    <t>C</t>
  </si>
  <si>
    <t>L11471</t>
  </si>
  <si>
    <t>T7020</t>
  </si>
  <si>
    <t>L11813</t>
  </si>
  <si>
    <t>0252</t>
  </si>
  <si>
    <t>LR0252</t>
  </si>
  <si>
    <t>hằng số mù mờ</t>
  </si>
  <si>
    <t>DÀY</t>
  </si>
  <si>
    <t>VỪA</t>
  </si>
  <si>
    <t>MỎNG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</si>
</sst>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7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</borders>
  <cellStyleXfs count="1">
    <xf numFmtId="0" fontId="0" fillId="0" borderId="0"/>
  </cellStyleXfs>
  <cellXfs count="15">
    <xf numFmtId="0" fontId="0" fillId="0" borderId="0" xfId="0"/>
    <xf numFmtId="0" fontId="0" fillId="0" borderId="1" xfId="0" applyBorder="1"/>
    <xf numFmtId="0" fontId="0" fillId="2" borderId="1" xfId="0" applyFill="1" applyBorder="1"/>
    <xf numFmtId="0" fontId="0" fillId="3" borderId="1" xfId="0" applyFill="1" applyBorder="1"/>
    <xf numFmtId="2" fontId="0" fillId="0" borderId="0" xfId="0" applyNumberFormat="1"/>
    <xf numFmtId="0" fontId="0" fillId="4" borderId="1" xfId="0" applyFill="1" applyBorder="1" applyAlignment="1">
      <alignment horizontal="center" vertical="center" wrapText="1"/>
    </xf>
    <xf numFmtId="0" fontId="0" fillId="4" borderId="1" xfId="0" applyFill="1" applyBorder="1" applyAlignment="1">
      <alignment horizontal="center" vertical="center"/>
    </xf>
    <xf numFmtId="0" fontId="0" fillId="0" borderId="2" xfId="0" applyBorder="1" applyAlignment="1">
      <alignment horizontal="center" vertical="center" wrapText="1"/>
    </xf>
    <xf numFmtId="0" fontId="0" fillId="0" borderId="2" xfId="0" applyBorder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3" borderId="1" xfId="0" applyFill="1" applyBorder="1" applyAlignment="1">
      <alignment horizontal="center"/>
    </xf>
    <xf numFmtId="0" fontId="0" fillId="2" borderId="1" xfId="0" applyFill="1" applyBorder="1" applyAlignment="1">
      <alignment horizontal="center" wrapText="1"/>
    </xf>
    <xf numFmtId="0" fontId="0" fillId="2" borderId="1" xfId="0" applyFill="1" applyBorder="1" applyAlignment="1">
      <alignment horizontal="center"/>
    </xf>
    <xf numFmtId="0" fontId="0" fillId="0" borderId="1" xfId="0" quotePrefix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A2002B-BD37-4E07-AF0D-AF6344E52E6E}">
  <sheetPr codeName="Sheet1"/>
  <dimension ref="A1:AK36"/>
  <sheetViews>
    <sheetView tabSelected="1" topLeftCell="B1" workbookViewId="0">
      <pane ySplit="36" topLeftCell="A37" activePane="bottomLeft" state="frozen"/>
      <selection activeCell="B1" sqref="B1"/>
      <selection pane="bottomLeft" activeCell="R33" sqref="R33"/>
    </sheetView>
  </sheetViews>
  <sheetFormatPr defaultRowHeight="15" x14ac:dyDescent="0.25"/>
  <cols>
    <col min="3" max="3" width="9.7109375" customWidth="1"/>
    <col min="4" max="31" width="5.5703125" customWidth="1"/>
    <col min="32" max="32" width="23.28515625" customWidth="1"/>
    <col min="33" max="33" width="27.140625" customWidth="1"/>
    <col min="34" max="34" width="1" customWidth="1"/>
    <col min="35" max="37" width="10.85546875" style="1" customWidth="1"/>
    <col min="38" max="41" width="4.7109375" customWidth="1"/>
  </cols>
  <sheetData>
    <row r="1" spans="1:37" x14ac:dyDescent="0.25">
      <c r="AI1" s="1" t="s">
        <v>13</v>
      </c>
      <c r="AJ1" s="1" t="s">
        <v>14</v>
      </c>
      <c r="AK1" s="1" t="s">
        <v>15</v>
      </c>
    </row>
    <row r="2" spans="1:37" x14ac:dyDescent="0.25">
      <c r="A2" s="1"/>
      <c r="B2" s="1"/>
      <c r="C2" s="12" t="s">
        <v>9</v>
      </c>
      <c r="D2" s="11" t="s">
        <v>2</v>
      </c>
      <c r="E2" s="11"/>
      <c r="F2" s="11"/>
      <c r="G2" s="11"/>
      <c r="H2" s="11"/>
      <c r="I2" s="11"/>
      <c r="J2" s="11"/>
      <c r="K2" s="11"/>
      <c r="L2" s="11"/>
      <c r="M2" s="11"/>
      <c r="N2" s="11"/>
      <c r="O2" s="11"/>
      <c r="P2" s="11"/>
      <c r="Q2" s="11"/>
      <c r="R2" s="11"/>
      <c r="S2" s="11"/>
      <c r="T2" s="11"/>
      <c r="U2" s="11"/>
      <c r="V2" s="11"/>
      <c r="W2" s="11"/>
      <c r="X2" s="11"/>
      <c r="Y2" s="11"/>
      <c r="Z2" s="11"/>
      <c r="AA2" s="11"/>
      <c r="AB2" s="11"/>
      <c r="AC2" s="11"/>
      <c r="AD2" s="11"/>
      <c r="AE2" s="11"/>
      <c r="AF2" s="7" t="s">
        <v>1</v>
      </c>
      <c r="AG2" s="9" t="s">
        <v>21</v>
      </c>
      <c r="AI2" s="1" t="s">
        <v>4</v>
      </c>
      <c r="AJ2" s="1" t="s">
        <v>5</v>
      </c>
      <c r="AK2" s="1" t="s">
        <v>6</v>
      </c>
    </row>
    <row r="3" spans="1:37" x14ac:dyDescent="0.25">
      <c r="A3" s="1"/>
      <c r="B3" s="1"/>
      <c r="C3" s="13"/>
      <c r="D3" s="3">
        <v>3</v>
      </c>
      <c r="E3" s="3">
        <v>4</v>
      </c>
      <c r="F3" s="3">
        <v>5</v>
      </c>
      <c r="G3" s="3">
        <v>6</v>
      </c>
      <c r="H3" s="3">
        <v>7</v>
      </c>
      <c r="I3" s="3">
        <v>8</v>
      </c>
      <c r="J3" s="3">
        <v>9</v>
      </c>
      <c r="K3" s="3">
        <v>10</v>
      </c>
      <c r="L3" s="3">
        <v>11</v>
      </c>
      <c r="M3" s="3">
        <v>12</v>
      </c>
      <c r="N3" s="3">
        <v>13</v>
      </c>
      <c r="O3" s="3">
        <v>14</v>
      </c>
      <c r="P3" s="3">
        <v>15</v>
      </c>
      <c r="Q3" s="3">
        <v>16</v>
      </c>
      <c r="R3" s="3">
        <v>17</v>
      </c>
      <c r="S3" s="3">
        <v>18</v>
      </c>
      <c r="T3" s="3">
        <v>19</v>
      </c>
      <c r="U3" s="3">
        <v>20</v>
      </c>
      <c r="V3" s="3">
        <v>21</v>
      </c>
      <c r="W3" s="3">
        <v>22</v>
      </c>
      <c r="X3" s="3">
        <v>23</v>
      </c>
      <c r="Y3" s="3">
        <v>24</v>
      </c>
      <c r="Z3" s="3">
        <v>25</v>
      </c>
      <c r="AA3" s="3">
        <v>26</v>
      </c>
      <c r="AB3" s="3">
        <v>27</v>
      </c>
      <c r="AC3" s="3">
        <v>28</v>
      </c>
      <c r="AD3" s="3">
        <v>29</v>
      </c>
      <c r="AE3" s="3">
        <v>30</v>
      </c>
      <c r="AF3" s="8"/>
      <c r="AG3" s="10"/>
      <c r="AI3" s="14" t="s">
        <v>19</v>
      </c>
      <c r="AK3" s="1" t="s">
        <v>16</v>
      </c>
    </row>
    <row r="4" spans="1:37" x14ac:dyDescent="0.25">
      <c r="A4" s="5" t="s">
        <v>3</v>
      </c>
      <c r="B4" s="5" t="s">
        <v>13</v>
      </c>
      <c r="C4" s="2">
        <v>1</v>
      </c>
      <c r="D4" s="1">
        <v>0.4</v>
      </c>
      <c r="E4" s="1">
        <f>D4*(1+E29*$AG$4)</f>
        <v>0.45999999999999996</v>
      </c>
      <c r="F4" s="1">
        <f t="shared" ref="F4:AE4" si="0">E4*(1+F29*$AG$4)</f>
        <v>0.51519999999999999</v>
      </c>
      <c r="G4" s="1">
        <f t="shared" si="0"/>
        <v>0.56672</v>
      </c>
      <c r="H4" s="1">
        <f t="shared" si="0"/>
        <v>0.61529599999999995</v>
      </c>
      <c r="I4" s="1">
        <f t="shared" si="0"/>
        <v>0.6614431999999999</v>
      </c>
      <c r="J4" s="1">
        <f t="shared" si="0"/>
        <v>0.70553941333333325</v>
      </c>
      <c r="K4" s="1">
        <f t="shared" si="0"/>
        <v>0.74787177813333328</v>
      </c>
      <c r="L4" s="1">
        <f t="shared" si="0"/>
        <v>0.78866478421333319</v>
      </c>
      <c r="M4" s="1">
        <f t="shared" si="0"/>
        <v>0.82809802342399985</v>
      </c>
      <c r="N4" s="1">
        <f t="shared" si="0"/>
        <v>0.86631793219741526</v>
      </c>
      <c r="O4" s="1">
        <f t="shared" si="0"/>
        <v>0.90344584357730451</v>
      </c>
      <c r="P4" s="1">
        <f t="shared" si="0"/>
        <v>0.93958367732039672</v>
      </c>
      <c r="Q4" s="1">
        <f t="shared" si="0"/>
        <v>0.97481806521991166</v>
      </c>
      <c r="R4" s="1">
        <f t="shared" si="0"/>
        <v>1.0092234086982617</v>
      </c>
      <c r="S4" s="1">
        <f t="shared" si="0"/>
        <v>1.0428641889882038</v>
      </c>
      <c r="T4" s="1">
        <f t="shared" si="0"/>
        <v>1.0757967423246735</v>
      </c>
      <c r="U4" s="1">
        <f t="shared" si="0"/>
        <v>1.1080706445944137</v>
      </c>
      <c r="V4" s="1">
        <f t="shared" si="0"/>
        <v>1.1397298058685397</v>
      </c>
      <c r="W4" s="1">
        <f t="shared" si="0"/>
        <v>1.1708133460285908</v>
      </c>
      <c r="X4" s="1">
        <f t="shared" si="0"/>
        <v>1.2013563028815106</v>
      </c>
      <c r="Y4" s="1">
        <f t="shared" si="0"/>
        <v>1.2313902104535484</v>
      </c>
      <c r="Z4" s="1">
        <f t="shared" si="0"/>
        <v>1.2609435755044336</v>
      </c>
      <c r="AA4" s="1">
        <f t="shared" si="0"/>
        <v>1.2900422734006896</v>
      </c>
      <c r="AB4" s="1">
        <f t="shared" si="0"/>
        <v>1.3187098794762604</v>
      </c>
      <c r="AC4" s="1">
        <f t="shared" si="0"/>
        <v>1.3469679483221801</v>
      </c>
      <c r="AD4" s="1">
        <f t="shared" si="0"/>
        <v>1.3748362507012597</v>
      </c>
      <c r="AE4" s="1">
        <f t="shared" si="0"/>
        <v>1.4023329757152849</v>
      </c>
      <c r="AG4">
        <v>0.6</v>
      </c>
      <c r="AI4" s="1" t="s">
        <v>20</v>
      </c>
      <c r="AK4" s="1" t="s">
        <v>17</v>
      </c>
    </row>
    <row r="5" spans="1:37" x14ac:dyDescent="0.25">
      <c r="A5" s="6"/>
      <c r="B5" s="6"/>
      <c r="C5" s="2">
        <v>2</v>
      </c>
      <c r="D5" s="1">
        <f>D4*$AF5*$AG$5</f>
        <v>0.54000000000000015</v>
      </c>
      <c r="E5" s="1">
        <f t="shared" ref="E5:AE5" si="1">E4*$AF5*$AG$5</f>
        <v>0.621</v>
      </c>
      <c r="F5" s="1">
        <f t="shared" si="1"/>
        <v>0.69551999999999992</v>
      </c>
      <c r="G5" s="1">
        <f t="shared" si="1"/>
        <v>0.76507199999999997</v>
      </c>
      <c r="H5" s="1">
        <f t="shared" si="1"/>
        <v>0.83064959999999999</v>
      </c>
      <c r="I5" s="1">
        <f t="shared" si="1"/>
        <v>0.89294831999999991</v>
      </c>
      <c r="J5" s="1">
        <f t="shared" si="1"/>
        <v>0.95247820799999994</v>
      </c>
      <c r="K5" s="1">
        <f t="shared" si="1"/>
        <v>1.00962690048</v>
      </c>
      <c r="L5" s="1">
        <f t="shared" si="1"/>
        <v>1.0646974586879998</v>
      </c>
      <c r="M5" s="1">
        <f t="shared" si="1"/>
        <v>1.1179323316223999</v>
      </c>
      <c r="N5" s="1">
        <f t="shared" si="1"/>
        <v>1.1695292084665105</v>
      </c>
      <c r="O5" s="1">
        <f t="shared" si="1"/>
        <v>1.219651888829361</v>
      </c>
      <c r="P5" s="1">
        <f t="shared" si="1"/>
        <v>1.2684379643825354</v>
      </c>
      <c r="Q5" s="1">
        <f t="shared" si="1"/>
        <v>1.3160043880468808</v>
      </c>
      <c r="R5" s="1">
        <f t="shared" si="1"/>
        <v>1.3624516017426533</v>
      </c>
      <c r="S5" s="1">
        <f t="shared" si="1"/>
        <v>1.4078666551340753</v>
      </c>
      <c r="T5" s="1">
        <f t="shared" si="1"/>
        <v>1.4523256021383093</v>
      </c>
      <c r="U5" s="1">
        <f t="shared" si="1"/>
        <v>1.4958953702024584</v>
      </c>
      <c r="V5" s="1">
        <f t="shared" si="1"/>
        <v>1.5386352379225285</v>
      </c>
      <c r="W5" s="1">
        <f t="shared" si="1"/>
        <v>1.5805980171385976</v>
      </c>
      <c r="X5" s="1">
        <f t="shared" si="1"/>
        <v>1.6218310088900394</v>
      </c>
      <c r="Y5" s="1">
        <f t="shared" si="1"/>
        <v>1.6623767841122905</v>
      </c>
      <c r="Z5" s="1">
        <f t="shared" si="1"/>
        <v>1.7022738269309854</v>
      </c>
      <c r="AA5" s="1">
        <f t="shared" si="1"/>
        <v>1.741557069090931</v>
      </c>
      <c r="AB5" s="1">
        <f t="shared" si="1"/>
        <v>1.7802583372929515</v>
      </c>
      <c r="AC5" s="1">
        <f t="shared" si="1"/>
        <v>1.8184067302349431</v>
      </c>
      <c r="AD5" s="1">
        <f t="shared" si="1"/>
        <v>1.8560289384467006</v>
      </c>
      <c r="AE5" s="1">
        <f t="shared" si="1"/>
        <v>1.8931495172156347</v>
      </c>
      <c r="AF5">
        <f>1+C30</f>
        <v>1.5</v>
      </c>
      <c r="AG5">
        <v>0.9</v>
      </c>
      <c r="AK5" s="1" t="s">
        <v>18</v>
      </c>
    </row>
    <row r="6" spans="1:37" x14ac:dyDescent="0.25">
      <c r="A6" s="6"/>
      <c r="B6" s="6"/>
      <c r="C6" s="2">
        <v>3</v>
      </c>
      <c r="D6" s="1">
        <f t="shared" ref="D6:D7" si="2">D5*$AF6*$AG$5</f>
        <v>0.64800000000000024</v>
      </c>
      <c r="E6" s="1">
        <f t="shared" ref="E6:E11" si="3">E5*$AF6*$AG$5</f>
        <v>0.74519999999999997</v>
      </c>
      <c r="F6" s="1">
        <f t="shared" ref="F6:F11" si="4">F5*$AF6*$AG$5</f>
        <v>0.83462399999999992</v>
      </c>
      <c r="G6" s="1">
        <f t="shared" ref="G6:G11" si="5">G5*$AF6*$AG$5</f>
        <v>0.91808639999999997</v>
      </c>
      <c r="H6" s="1">
        <f t="shared" ref="H6:H11" si="6">H5*$AF6*$AG$5</f>
        <v>0.99677952000000003</v>
      </c>
      <c r="I6" s="1">
        <f t="shared" ref="I6:I11" si="7">I5*$AF6*$AG$5</f>
        <v>1.0715379839999999</v>
      </c>
      <c r="J6" s="1">
        <f t="shared" ref="J6:J11" si="8">J5*$AF6*$AG$5</f>
        <v>1.1429738495999999</v>
      </c>
      <c r="K6" s="1">
        <f t="shared" ref="K6:K11" si="9">K5*$AF6*$AG$5</f>
        <v>1.211552280576</v>
      </c>
      <c r="L6" s="1">
        <f t="shared" ref="L6:L11" si="10">L5*$AF6*$AG$5</f>
        <v>1.2776369504255998</v>
      </c>
      <c r="M6" s="1">
        <f t="shared" ref="M6:M11" si="11">M5*$AF6*$AG$5</f>
        <v>1.3415187979468799</v>
      </c>
      <c r="N6" s="1">
        <f t="shared" ref="N6:N11" si="12">N5*$AF6*$AG$5</f>
        <v>1.4034350501598127</v>
      </c>
      <c r="O6" s="1">
        <f t="shared" ref="O6:O11" si="13">O5*$AF6*$AG$5</f>
        <v>1.4635822665952332</v>
      </c>
      <c r="P6" s="1">
        <f t="shared" ref="P6:P11" si="14">P5*$AF6*$AG$5</f>
        <v>1.5221255572590424</v>
      </c>
      <c r="Q6" s="1">
        <f t="shared" ref="Q6:Q11" si="15">Q5*$AF6*$AG$5</f>
        <v>1.579205265656257</v>
      </c>
      <c r="R6" s="1">
        <f t="shared" ref="R6:R11" si="16">R5*$AF6*$AG$5</f>
        <v>1.6349419220911841</v>
      </c>
      <c r="S6" s="1">
        <f t="shared" ref="S6:S11" si="17">S5*$AF6*$AG$5</f>
        <v>1.6894399861608902</v>
      </c>
      <c r="T6" s="1">
        <f t="shared" ref="T6:T11" si="18">T5*$AF6*$AG$5</f>
        <v>1.7427907225659711</v>
      </c>
      <c r="U6" s="1">
        <f t="shared" ref="U6:U11" si="19">U5*$AF6*$AG$5</f>
        <v>1.7950744442429503</v>
      </c>
      <c r="V6" s="1">
        <f t="shared" ref="V6:V7" si="20">V5*$AF6*$AG$5</f>
        <v>1.8463622855070341</v>
      </c>
      <c r="W6" s="1">
        <f t="shared" ref="W6:W7" si="21">W5*$AF6*$AG$5</f>
        <v>1.896717620566317</v>
      </c>
      <c r="X6" s="1">
        <f t="shared" ref="X6:X7" si="22">X5*$AF6*$AG$5</f>
        <v>1.9461972106680472</v>
      </c>
      <c r="Y6" s="1">
        <f t="shared" ref="Y6:Y7" si="23">Y5*$AF6*$AG$5</f>
        <v>1.9948521409347486</v>
      </c>
      <c r="Z6" s="1">
        <f t="shared" ref="Z6:Z7" si="24">Z5*$AF6*$AG$5</f>
        <v>2.0427285923171823</v>
      </c>
      <c r="AA6" s="1">
        <f t="shared" ref="AA6:AA7" si="25">AA5*$AF6*$AG$5</f>
        <v>2.0898684829091172</v>
      </c>
      <c r="AB6" s="1">
        <f t="shared" ref="AB6:AB7" si="26">AB5*$AF6*$AG$5</f>
        <v>2.1363100047515418</v>
      </c>
      <c r="AC6" s="1">
        <f t="shared" ref="AC6:AC7" si="27">AC5*$AF6*$AG$5</f>
        <v>2.1820880762819317</v>
      </c>
      <c r="AD6" s="1">
        <f t="shared" ref="AD6:AD7" si="28">AD5*$AF6*$AG$5</f>
        <v>2.2272347261360403</v>
      </c>
      <c r="AE6" s="1">
        <f t="shared" ref="AE6:AE7" si="29">AE5*$AF6*$AG$5</f>
        <v>2.2717794206587616</v>
      </c>
      <c r="AF6">
        <f t="shared" ref="AF6:AF11" si="30">1+C31</f>
        <v>1.3333333333333333</v>
      </c>
    </row>
    <row r="7" spans="1:37" x14ac:dyDescent="0.25">
      <c r="A7" s="6"/>
      <c r="B7" s="6"/>
      <c r="C7" s="2">
        <v>4</v>
      </c>
      <c r="D7" s="1">
        <f t="shared" si="2"/>
        <v>0.72900000000000031</v>
      </c>
      <c r="E7" s="1">
        <f t="shared" si="3"/>
        <v>0.83835000000000004</v>
      </c>
      <c r="F7" s="1">
        <f t="shared" si="4"/>
        <v>0.93895200000000001</v>
      </c>
      <c r="G7" s="1">
        <f t="shared" si="5"/>
        <v>1.0328472</v>
      </c>
      <c r="H7" s="1">
        <f t="shared" si="6"/>
        <v>1.1213769600000001</v>
      </c>
      <c r="I7" s="1">
        <f t="shared" si="7"/>
        <v>1.205480232</v>
      </c>
      <c r="J7" s="1">
        <f t="shared" si="8"/>
        <v>1.2858455808</v>
      </c>
      <c r="K7" s="1">
        <f t="shared" si="9"/>
        <v>1.3629963156480001</v>
      </c>
      <c r="L7" s="1">
        <f t="shared" si="10"/>
        <v>1.4373415692287999</v>
      </c>
      <c r="M7" s="1">
        <f t="shared" si="11"/>
        <v>1.50920864769024</v>
      </c>
      <c r="N7" s="1">
        <f t="shared" si="12"/>
        <v>1.5788644314297893</v>
      </c>
      <c r="O7" s="1">
        <f t="shared" si="13"/>
        <v>1.6465300499196374</v>
      </c>
      <c r="P7" s="1">
        <f t="shared" si="14"/>
        <v>1.7123912519164228</v>
      </c>
      <c r="Q7" s="1">
        <f t="shared" si="15"/>
        <v>1.7766059238632892</v>
      </c>
      <c r="R7" s="1">
        <f t="shared" si="16"/>
        <v>1.8393096623525822</v>
      </c>
      <c r="S7" s="1">
        <f t="shared" si="17"/>
        <v>1.9006199844310017</v>
      </c>
      <c r="T7" s="1">
        <f t="shared" si="18"/>
        <v>1.9606395628867177</v>
      </c>
      <c r="U7" s="1">
        <f t="shared" si="19"/>
        <v>2.0194587497733192</v>
      </c>
      <c r="V7" s="1">
        <f t="shared" si="20"/>
        <v>2.0771575711954133</v>
      </c>
      <c r="W7" s="1">
        <f t="shared" si="21"/>
        <v>2.1338073231371064</v>
      </c>
      <c r="X7" s="1">
        <f t="shared" si="22"/>
        <v>2.189471862001553</v>
      </c>
      <c r="Y7" s="1">
        <f t="shared" si="23"/>
        <v>2.2442086585515924</v>
      </c>
      <c r="Z7" s="1">
        <f t="shared" si="24"/>
        <v>2.2980696663568301</v>
      </c>
      <c r="AA7" s="1">
        <f t="shared" si="25"/>
        <v>2.351102043272757</v>
      </c>
      <c r="AB7" s="1">
        <f t="shared" si="26"/>
        <v>2.4033487553454846</v>
      </c>
      <c r="AC7" s="1">
        <f t="shared" si="27"/>
        <v>2.4548490858171732</v>
      </c>
      <c r="AD7" s="1">
        <f t="shared" si="28"/>
        <v>2.5056390669030453</v>
      </c>
      <c r="AE7" s="1">
        <f t="shared" si="29"/>
        <v>2.555751848241107</v>
      </c>
      <c r="AF7">
        <f t="shared" si="30"/>
        <v>1.25</v>
      </c>
    </row>
    <row r="8" spans="1:37" x14ac:dyDescent="0.25">
      <c r="A8" s="6"/>
      <c r="B8" s="6"/>
      <c r="C8" s="2">
        <v>5</v>
      </c>
      <c r="D8" s="1">
        <f t="shared" ref="D6:D11" si="31">D7*$AF8*$AG$5</f>
        <v>0.78732000000000035</v>
      </c>
      <c r="E8" s="1">
        <f t="shared" si="3"/>
        <v>0.90541799999999995</v>
      </c>
      <c r="F8" s="1">
        <f t="shared" si="4"/>
        <v>1.0140681599999999</v>
      </c>
      <c r="G8" s="1">
        <f t="shared" si="5"/>
        <v>1.115474976</v>
      </c>
      <c r="H8" s="1">
        <f t="shared" si="6"/>
        <v>1.2110871168000001</v>
      </c>
      <c r="I8" s="1">
        <f t="shared" si="7"/>
        <v>1.30191865056</v>
      </c>
      <c r="J8" s="1">
        <f t="shared" si="8"/>
        <v>1.3887132272640001</v>
      </c>
      <c r="K8" s="1">
        <f t="shared" si="9"/>
        <v>1.47203602089984</v>
      </c>
      <c r="L8" s="1">
        <f t="shared" si="10"/>
        <v>1.5523288947671039</v>
      </c>
      <c r="M8" s="1">
        <f t="shared" si="11"/>
        <v>1.6299453395054593</v>
      </c>
      <c r="N8" s="1">
        <f t="shared" si="12"/>
        <v>1.7051735859441723</v>
      </c>
      <c r="O8" s="1">
        <f t="shared" si="13"/>
        <v>1.7782524539132083</v>
      </c>
      <c r="P8" s="1">
        <f t="shared" si="14"/>
        <v>1.8493825520697365</v>
      </c>
      <c r="Q8" s="1">
        <f t="shared" si="15"/>
        <v>1.9187343977723523</v>
      </c>
      <c r="R8" s="1">
        <f t="shared" si="16"/>
        <v>1.9864544353407887</v>
      </c>
      <c r="S8" s="1">
        <f t="shared" si="17"/>
        <v>2.052669583185482</v>
      </c>
      <c r="T8" s="1">
        <f t="shared" si="18"/>
        <v>2.1174907279176551</v>
      </c>
      <c r="U8" s="1">
        <f t="shared" si="19"/>
        <v>2.181015449755185</v>
      </c>
      <c r="V8" s="1" t="s">
        <v>0</v>
      </c>
      <c r="W8" s="1" t="s">
        <v>0</v>
      </c>
      <c r="X8" s="1" t="s">
        <v>0</v>
      </c>
      <c r="Y8" s="1" t="s">
        <v>0</v>
      </c>
      <c r="Z8" s="1" t="s">
        <v>0</v>
      </c>
      <c r="AA8" s="1" t="s">
        <v>0</v>
      </c>
      <c r="AB8" s="1" t="s">
        <v>0</v>
      </c>
      <c r="AC8" s="1" t="s">
        <v>0</v>
      </c>
      <c r="AD8" s="1" t="s">
        <v>0</v>
      </c>
      <c r="AE8" s="1" t="s">
        <v>0</v>
      </c>
      <c r="AF8">
        <f t="shared" si="30"/>
        <v>1.2</v>
      </c>
    </row>
    <row r="9" spans="1:37" x14ac:dyDescent="0.25">
      <c r="A9" s="6"/>
      <c r="B9" s="6"/>
      <c r="C9" s="2">
        <v>6</v>
      </c>
      <c r="D9" s="1">
        <f t="shared" si="31"/>
        <v>0.82668600000000048</v>
      </c>
      <c r="E9" s="1">
        <f t="shared" si="3"/>
        <v>0.95068890000000006</v>
      </c>
      <c r="F9" s="1">
        <f t="shared" si="4"/>
        <v>1.0647715680000001</v>
      </c>
      <c r="G9" s="1">
        <f t="shared" si="5"/>
        <v>1.1712487248000001</v>
      </c>
      <c r="H9" s="1">
        <f t="shared" si="6"/>
        <v>1.2716414726400003</v>
      </c>
      <c r="I9" s="1">
        <f t="shared" si="7"/>
        <v>1.3670145830880001</v>
      </c>
      <c r="J9" s="1">
        <f t="shared" si="8"/>
        <v>1.4581488886272003</v>
      </c>
      <c r="K9" s="1">
        <f t="shared" si="9"/>
        <v>1.5456378219448321</v>
      </c>
      <c r="L9" s="1">
        <f t="shared" si="10"/>
        <v>1.6299453395054593</v>
      </c>
      <c r="M9" s="1">
        <f t="shared" si="11"/>
        <v>1.7114426064807324</v>
      </c>
      <c r="N9" s="1">
        <f t="shared" si="12"/>
        <v>1.7904322652413811</v>
      </c>
      <c r="O9" s="1">
        <f t="shared" si="13"/>
        <v>1.8671650766088688</v>
      </c>
      <c r="P9" s="1">
        <f t="shared" si="14"/>
        <v>1.9418516796732235</v>
      </c>
      <c r="Q9" s="1">
        <f t="shared" si="15"/>
        <v>2.0146711176609702</v>
      </c>
      <c r="R9" s="1">
        <f t="shared" si="16"/>
        <v>2.0857771571078283</v>
      </c>
      <c r="S9" s="1">
        <f t="shared" si="17"/>
        <v>2.155303062344756</v>
      </c>
      <c r="T9" s="1">
        <f t="shared" si="18"/>
        <v>2.223365264313538</v>
      </c>
      <c r="U9" s="1">
        <f t="shared" si="19"/>
        <v>2.2900662222429444</v>
      </c>
      <c r="V9" s="1" t="s">
        <v>0</v>
      </c>
      <c r="W9" s="1" t="s">
        <v>0</v>
      </c>
      <c r="X9" s="1" t="s">
        <v>0</v>
      </c>
      <c r="Y9" s="1" t="s">
        <v>0</v>
      </c>
      <c r="Z9" s="1" t="s">
        <v>0</v>
      </c>
      <c r="AA9" s="1" t="s">
        <v>0</v>
      </c>
      <c r="AB9" s="1" t="s">
        <v>0</v>
      </c>
      <c r="AC9" s="1" t="s">
        <v>0</v>
      </c>
      <c r="AD9" s="1" t="s">
        <v>0</v>
      </c>
      <c r="AE9" s="1" t="s">
        <v>0</v>
      </c>
      <c r="AF9">
        <f t="shared" si="30"/>
        <v>1.1666666666666667</v>
      </c>
    </row>
    <row r="10" spans="1:37" x14ac:dyDescent="0.25">
      <c r="A10" s="6"/>
      <c r="B10" s="6"/>
      <c r="C10" s="2">
        <v>7</v>
      </c>
      <c r="D10" s="1">
        <f t="shared" si="31"/>
        <v>0.85030560000000044</v>
      </c>
      <c r="E10" s="1">
        <f t="shared" si="3"/>
        <v>0.97785144000000013</v>
      </c>
      <c r="F10" s="1">
        <f t="shared" si="4"/>
        <v>1.0951936127999999</v>
      </c>
      <c r="G10" s="1">
        <f t="shared" si="5"/>
        <v>1.2047129740800002</v>
      </c>
      <c r="H10" s="1">
        <f t="shared" si="6"/>
        <v>1.3079740861440001</v>
      </c>
      <c r="I10" s="1">
        <f t="shared" si="7"/>
        <v>1.4060721426048</v>
      </c>
      <c r="J10" s="1">
        <f t="shared" si="8"/>
        <v>1.4998102854451203</v>
      </c>
      <c r="K10" s="1">
        <f t="shared" si="9"/>
        <v>1.5897989025718273</v>
      </c>
      <c r="L10" s="1">
        <f t="shared" si="10"/>
        <v>1.6765152063484723</v>
      </c>
      <c r="M10" s="1">
        <f t="shared" si="11"/>
        <v>1.7603409666658962</v>
      </c>
      <c r="N10" s="1">
        <f t="shared" si="12"/>
        <v>1.8415874728197061</v>
      </c>
      <c r="O10" s="1">
        <f t="shared" si="13"/>
        <v>1.9205126502262651</v>
      </c>
      <c r="P10" s="1">
        <f t="shared" si="14"/>
        <v>1.9973331562353154</v>
      </c>
      <c r="Q10" s="1">
        <f t="shared" si="15"/>
        <v>2.0722331495941408</v>
      </c>
      <c r="R10" s="1">
        <f t="shared" si="16"/>
        <v>2.1453707901680517</v>
      </c>
      <c r="S10" s="1">
        <f t="shared" si="17"/>
        <v>2.2168831498403203</v>
      </c>
      <c r="T10" s="1">
        <f t="shared" si="18"/>
        <v>2.2868899861510674</v>
      </c>
      <c r="U10" s="1">
        <f t="shared" si="19"/>
        <v>2.3554966857355999</v>
      </c>
      <c r="V10" s="1"/>
      <c r="W10" s="1"/>
      <c r="X10" s="1"/>
      <c r="Y10" s="1"/>
      <c r="Z10" s="1"/>
      <c r="AA10" s="1"/>
      <c r="AB10" s="1"/>
      <c r="AC10" s="1"/>
      <c r="AD10" s="1"/>
      <c r="AE10" s="1"/>
      <c r="AF10">
        <f t="shared" si="30"/>
        <v>1.1428571428571428</v>
      </c>
    </row>
    <row r="11" spans="1:37" x14ac:dyDescent="0.25">
      <c r="A11" s="6"/>
      <c r="B11" s="6"/>
      <c r="C11" s="2">
        <v>8</v>
      </c>
      <c r="D11" s="1">
        <f t="shared" si="31"/>
        <v>0.86093442000000042</v>
      </c>
      <c r="E11" s="1">
        <f t="shared" si="3"/>
        <v>0.99007458300000006</v>
      </c>
      <c r="F11" s="1">
        <f t="shared" si="4"/>
        <v>1.10888353296</v>
      </c>
      <c r="G11" s="1">
        <f t="shared" si="5"/>
        <v>1.2197718862560001</v>
      </c>
      <c r="H11" s="1">
        <f t="shared" si="6"/>
        <v>1.3243237622208002</v>
      </c>
      <c r="I11" s="1">
        <f t="shared" si="7"/>
        <v>1.4236480443873598</v>
      </c>
      <c r="J11" s="1">
        <f t="shared" si="8"/>
        <v>1.5185579140131844</v>
      </c>
      <c r="K11" s="1">
        <f t="shared" si="9"/>
        <v>1.6096713888539751</v>
      </c>
      <c r="L11" s="1">
        <f t="shared" si="10"/>
        <v>1.6974716464278283</v>
      </c>
      <c r="M11" s="1">
        <f t="shared" si="11"/>
        <v>1.7823452287492201</v>
      </c>
      <c r="N11" s="1">
        <f t="shared" si="12"/>
        <v>1.8646073162299526</v>
      </c>
      <c r="O11" s="1">
        <f t="shared" si="13"/>
        <v>1.9445190583540934</v>
      </c>
      <c r="P11" s="1">
        <f t="shared" si="14"/>
        <v>2.0222998206882568</v>
      </c>
      <c r="Q11" s="1">
        <f t="shared" si="15"/>
        <v>2.0981360639640676</v>
      </c>
      <c r="R11" s="1">
        <f t="shared" si="16"/>
        <v>2.1721879250451526</v>
      </c>
      <c r="S11" s="1">
        <f t="shared" si="17"/>
        <v>2.2445941892133243</v>
      </c>
      <c r="T11" s="1">
        <f t="shared" si="18"/>
        <v>2.3154761109779556</v>
      </c>
      <c r="U11" s="1">
        <f t="shared" si="19"/>
        <v>2.3849403943072947</v>
      </c>
      <c r="V11" s="1"/>
      <c r="W11" s="1"/>
      <c r="X11" s="1"/>
      <c r="Y11" s="1"/>
      <c r="Z11" s="1"/>
      <c r="AA11" s="1"/>
      <c r="AB11" s="1"/>
      <c r="AC11" s="1"/>
      <c r="AD11" s="1"/>
      <c r="AE11" s="1"/>
      <c r="AF11">
        <f t="shared" si="30"/>
        <v>1.125</v>
      </c>
    </row>
    <row r="12" spans="1:37" x14ac:dyDescent="0.25">
      <c r="A12" s="6"/>
      <c r="B12" s="5" t="s">
        <v>14</v>
      </c>
      <c r="C12" s="2">
        <v>1</v>
      </c>
      <c r="D12" s="1">
        <f>D4*0.8</f>
        <v>0.32000000000000006</v>
      </c>
      <c r="E12" s="1">
        <f t="shared" ref="E12:AE12" si="32">E4*0.8</f>
        <v>0.36799999999999999</v>
      </c>
      <c r="F12" s="1">
        <f t="shared" si="32"/>
        <v>0.41216000000000003</v>
      </c>
      <c r="G12" s="1">
        <f t="shared" si="32"/>
        <v>0.453376</v>
      </c>
      <c r="H12" s="1">
        <f t="shared" si="32"/>
        <v>0.49223679999999997</v>
      </c>
      <c r="I12" s="1">
        <f t="shared" si="32"/>
        <v>0.52915455999999994</v>
      </c>
      <c r="J12" s="1">
        <f t="shared" si="32"/>
        <v>0.56443153066666663</v>
      </c>
      <c r="K12" s="1">
        <f t="shared" si="32"/>
        <v>0.59829742250666662</v>
      </c>
      <c r="L12" s="1">
        <f t="shared" si="32"/>
        <v>0.63093182737066655</v>
      </c>
      <c r="M12" s="1">
        <f t="shared" si="32"/>
        <v>0.66247841873919988</v>
      </c>
      <c r="N12" s="1">
        <f t="shared" si="32"/>
        <v>0.69305434575793223</v>
      </c>
      <c r="O12" s="1">
        <f t="shared" si="32"/>
        <v>0.7227566748618437</v>
      </c>
      <c r="P12" s="1">
        <f t="shared" si="32"/>
        <v>0.75166694185631744</v>
      </c>
      <c r="Q12" s="1">
        <f t="shared" si="32"/>
        <v>0.77985445217592941</v>
      </c>
      <c r="R12" s="1">
        <f t="shared" si="32"/>
        <v>0.80737872695860935</v>
      </c>
      <c r="S12" s="1">
        <f t="shared" si="32"/>
        <v>0.83429135119056308</v>
      </c>
      <c r="T12" s="1">
        <f t="shared" si="32"/>
        <v>0.86063739385973881</v>
      </c>
      <c r="U12" s="1">
        <f t="shared" si="32"/>
        <v>0.88645651567553108</v>
      </c>
      <c r="V12" s="1">
        <f t="shared" si="32"/>
        <v>0.91178384469483176</v>
      </c>
      <c r="W12" s="1">
        <f t="shared" si="32"/>
        <v>0.93665067682287262</v>
      </c>
      <c r="X12" s="1">
        <f t="shared" si="32"/>
        <v>0.96108504230520853</v>
      </c>
      <c r="Y12" s="1">
        <f t="shared" si="32"/>
        <v>0.98511216836283877</v>
      </c>
      <c r="Z12" s="1">
        <f t="shared" si="32"/>
        <v>1.008754860403547</v>
      </c>
      <c r="AA12" s="1">
        <f t="shared" si="32"/>
        <v>1.0320338187205518</v>
      </c>
      <c r="AB12" s="1">
        <f t="shared" si="32"/>
        <v>1.0549679035810084</v>
      </c>
      <c r="AC12" s="1">
        <f t="shared" si="32"/>
        <v>1.0775743586577442</v>
      </c>
      <c r="AD12" s="1">
        <f t="shared" si="32"/>
        <v>1.0998690005610079</v>
      </c>
      <c r="AE12" s="1">
        <f t="shared" si="32"/>
        <v>1.121866380572228</v>
      </c>
    </row>
    <row r="13" spans="1:37" x14ac:dyDescent="0.25">
      <c r="A13" s="6"/>
      <c r="B13" s="6"/>
      <c r="C13" s="2">
        <v>2</v>
      </c>
      <c r="D13" s="1">
        <f>D12*$AF13*$AG$5</f>
        <v>0.43200000000000011</v>
      </c>
      <c r="E13" s="1">
        <f t="shared" ref="E13:AE13" si="33">E12*$AF13*$AG$5</f>
        <v>0.49680000000000007</v>
      </c>
      <c r="F13" s="1">
        <f t="shared" si="33"/>
        <v>0.55641600000000002</v>
      </c>
      <c r="G13" s="1">
        <f t="shared" si="33"/>
        <v>0.61205759999999998</v>
      </c>
      <c r="H13" s="1">
        <f t="shared" si="33"/>
        <v>0.66451968000000006</v>
      </c>
      <c r="I13" s="1">
        <f t="shared" si="33"/>
        <v>0.71435865600000004</v>
      </c>
      <c r="J13" s="1">
        <f t="shared" si="33"/>
        <v>0.76198256640000006</v>
      </c>
      <c r="K13" s="1">
        <f t="shared" si="33"/>
        <v>0.807701520384</v>
      </c>
      <c r="L13" s="1">
        <f t="shared" si="33"/>
        <v>0.85175796695039985</v>
      </c>
      <c r="M13" s="1">
        <f t="shared" si="33"/>
        <v>0.89434586529791982</v>
      </c>
      <c r="N13" s="1">
        <f t="shared" si="33"/>
        <v>0.93562336677320856</v>
      </c>
      <c r="O13" s="1">
        <f t="shared" si="33"/>
        <v>0.97572151106348903</v>
      </c>
      <c r="P13" s="1">
        <f t="shared" si="33"/>
        <v>1.0147503715060284</v>
      </c>
      <c r="Q13" s="1">
        <f t="shared" si="33"/>
        <v>1.0528035104375046</v>
      </c>
      <c r="R13" s="1">
        <f t="shared" si="33"/>
        <v>1.0899612813941226</v>
      </c>
      <c r="S13" s="1">
        <f t="shared" si="33"/>
        <v>1.1262933241072601</v>
      </c>
      <c r="T13" s="1">
        <f t="shared" si="33"/>
        <v>1.1618604817106475</v>
      </c>
      <c r="U13" s="1">
        <f t="shared" si="33"/>
        <v>1.1967162961619671</v>
      </c>
      <c r="V13" s="1">
        <f t="shared" si="33"/>
        <v>1.230908190338023</v>
      </c>
      <c r="W13" s="1">
        <f t="shared" si="33"/>
        <v>1.264478413710878</v>
      </c>
      <c r="X13" s="1">
        <f t="shared" si="33"/>
        <v>1.2974648071120316</v>
      </c>
      <c r="Y13" s="1">
        <f t="shared" si="33"/>
        <v>1.3299014272898324</v>
      </c>
      <c r="Z13" s="1">
        <f t="shared" si="33"/>
        <v>1.3618190615447885</v>
      </c>
      <c r="AA13" s="1">
        <f t="shared" si="33"/>
        <v>1.3932456552727448</v>
      </c>
      <c r="AB13" s="1">
        <f t="shared" si="33"/>
        <v>1.4242066698343614</v>
      </c>
      <c r="AC13" s="1">
        <f t="shared" si="33"/>
        <v>1.4547253841879546</v>
      </c>
      <c r="AD13" s="1">
        <f t="shared" si="33"/>
        <v>1.4848231507573606</v>
      </c>
      <c r="AE13" s="1">
        <f t="shared" si="33"/>
        <v>1.5145196137725079</v>
      </c>
      <c r="AF13">
        <f>1+C30</f>
        <v>1.5</v>
      </c>
    </row>
    <row r="14" spans="1:37" x14ac:dyDescent="0.25">
      <c r="A14" s="6"/>
      <c r="B14" s="6"/>
      <c r="C14" s="2">
        <v>3</v>
      </c>
      <c r="D14" s="1">
        <f t="shared" ref="D14:D19" si="34">D13*$AF14*$AG$5</f>
        <v>0.51840000000000008</v>
      </c>
      <c r="E14" s="1">
        <f t="shared" ref="E14:E19" si="35">E13*$AF14*$AG$5</f>
        <v>0.59616000000000013</v>
      </c>
      <c r="F14" s="1">
        <f t="shared" ref="F14:F19" si="36">F13*$AF14*$AG$5</f>
        <v>0.66769920000000005</v>
      </c>
      <c r="G14" s="1">
        <f t="shared" ref="G14:G19" si="37">G13*$AF14*$AG$5</f>
        <v>0.73446911999999998</v>
      </c>
      <c r="H14" s="1">
        <f t="shared" ref="H14:H19" si="38">H13*$AF14*$AG$5</f>
        <v>0.79742361600000011</v>
      </c>
      <c r="I14" s="1">
        <f t="shared" ref="I14:I19" si="39">I13*$AF14*$AG$5</f>
        <v>0.85723038720000011</v>
      </c>
      <c r="J14" s="1">
        <f t="shared" ref="J14:J19" si="40">J13*$AF14*$AG$5</f>
        <v>0.9143790796800001</v>
      </c>
      <c r="K14" s="1">
        <f t="shared" ref="K14:K19" si="41">K13*$AF14*$AG$5</f>
        <v>0.96924182446079998</v>
      </c>
      <c r="L14" s="1">
        <f t="shared" ref="L14:L19" si="42">L13*$AF14*$AG$5</f>
        <v>1.02210956034048</v>
      </c>
      <c r="M14" s="1">
        <f t="shared" ref="M14:M19" si="43">M13*$AF14*$AG$5</f>
        <v>1.0732150383575036</v>
      </c>
      <c r="N14" s="1">
        <f t="shared" ref="N14:N19" si="44">N13*$AF14*$AG$5</f>
        <v>1.1227480401278502</v>
      </c>
      <c r="O14" s="1">
        <f t="shared" ref="O14:O19" si="45">O13*$AF14*$AG$5</f>
        <v>1.1708658132761867</v>
      </c>
      <c r="P14" s="1">
        <f t="shared" ref="P14:P19" si="46">P13*$AF14*$AG$5</f>
        <v>1.2177004458072342</v>
      </c>
      <c r="Q14" s="1">
        <f t="shared" ref="Q14:Q19" si="47">Q13*$AF14*$AG$5</f>
        <v>1.2633642125250055</v>
      </c>
      <c r="R14" s="1">
        <f t="shared" ref="R14:R19" si="48">R13*$AF14*$AG$5</f>
        <v>1.3079535376729472</v>
      </c>
      <c r="S14" s="1">
        <f t="shared" ref="S14:S19" si="49">S13*$AF14*$AG$5</f>
        <v>1.3515519889287122</v>
      </c>
      <c r="T14" s="1">
        <f t="shared" ref="T14:T19" si="50">T13*$AF14*$AG$5</f>
        <v>1.3942325780527769</v>
      </c>
      <c r="U14" s="1">
        <f t="shared" ref="U14:U19" si="51">U13*$AF14*$AG$5</f>
        <v>1.4360595553943605</v>
      </c>
      <c r="V14" s="1">
        <f t="shared" ref="V14:V19" si="52">V13*$AF14*$AG$5</f>
        <v>1.4770898284056275</v>
      </c>
      <c r="W14" s="1">
        <f t="shared" ref="W14:W19" si="53">W13*$AF14*$AG$5</f>
        <v>1.5173740964530535</v>
      </c>
      <c r="X14" s="1">
        <f t="shared" ref="X14:X19" si="54">X13*$AF14*$AG$5</f>
        <v>1.5569577685344378</v>
      </c>
      <c r="Y14" s="1">
        <f t="shared" ref="Y14:Y19" si="55">Y13*$AF14*$AG$5</f>
        <v>1.5958817127477989</v>
      </c>
      <c r="Z14" s="1">
        <f t="shared" ref="Z14:Z19" si="56">Z13*$AF14*$AG$5</f>
        <v>1.6341828738537463</v>
      </c>
      <c r="AA14" s="1">
        <f t="shared" ref="AA14:AA19" si="57">AA13*$AF14*$AG$5</f>
        <v>1.6718947863272937</v>
      </c>
      <c r="AB14" s="1">
        <f t="shared" ref="AB14:AB19" si="58">AB13*$AF14*$AG$5</f>
        <v>1.7090480038012337</v>
      </c>
      <c r="AC14" s="1">
        <f t="shared" ref="AC14:AC19" si="59">AC13*$AF14*$AG$5</f>
        <v>1.7456704610255456</v>
      </c>
      <c r="AD14" s="1">
        <f t="shared" ref="AD14:AD19" si="60">AD13*$AF14*$AG$5</f>
        <v>1.7817877809088327</v>
      </c>
      <c r="AE14" s="1">
        <f t="shared" ref="AE14:AE19" si="61">AE13*$AF14*$AG$5</f>
        <v>1.8174235365270095</v>
      </c>
      <c r="AF14">
        <f t="shared" ref="AF14:AF19" si="62">1+C31</f>
        <v>1.3333333333333333</v>
      </c>
    </row>
    <row r="15" spans="1:37" x14ac:dyDescent="0.25">
      <c r="A15" s="6"/>
      <c r="B15" s="6"/>
      <c r="C15" s="2">
        <v>4</v>
      </c>
      <c r="D15" s="1">
        <f t="shared" si="34"/>
        <v>0.58320000000000016</v>
      </c>
      <c r="E15" s="1">
        <f t="shared" si="35"/>
        <v>0.67068000000000016</v>
      </c>
      <c r="F15" s="1">
        <f t="shared" si="36"/>
        <v>0.7511616000000001</v>
      </c>
      <c r="G15" s="1">
        <f t="shared" si="37"/>
        <v>0.82627775999999997</v>
      </c>
      <c r="H15" s="1">
        <f t="shared" si="38"/>
        <v>0.89710156800000018</v>
      </c>
      <c r="I15" s="1">
        <f t="shared" si="39"/>
        <v>0.96438418560000017</v>
      </c>
      <c r="J15" s="1">
        <f t="shared" si="40"/>
        <v>1.0286764646400002</v>
      </c>
      <c r="K15" s="1">
        <f t="shared" si="41"/>
        <v>1.0903970525183999</v>
      </c>
      <c r="L15" s="1">
        <f t="shared" si="42"/>
        <v>1.14987325538304</v>
      </c>
      <c r="M15" s="1">
        <f t="shared" si="43"/>
        <v>1.2073669181521915</v>
      </c>
      <c r="N15" s="1">
        <f t="shared" si="44"/>
        <v>1.2630915451438316</v>
      </c>
      <c r="O15" s="1">
        <f t="shared" si="45"/>
        <v>1.31722403993571</v>
      </c>
      <c r="P15" s="1">
        <f t="shared" si="46"/>
        <v>1.3699130015331387</v>
      </c>
      <c r="Q15" s="1">
        <f t="shared" si="47"/>
        <v>1.4212847390906314</v>
      </c>
      <c r="R15" s="1">
        <f t="shared" si="48"/>
        <v>1.4714477298820656</v>
      </c>
      <c r="S15" s="1">
        <f t="shared" si="49"/>
        <v>1.5204959875448012</v>
      </c>
      <c r="T15" s="1">
        <f t="shared" si="50"/>
        <v>1.5685116503093741</v>
      </c>
      <c r="U15" s="1">
        <f t="shared" si="51"/>
        <v>1.6155669998186555</v>
      </c>
      <c r="V15" s="1">
        <f t="shared" si="52"/>
        <v>1.661726056956331</v>
      </c>
      <c r="W15" s="1">
        <f t="shared" si="53"/>
        <v>1.7070458585096853</v>
      </c>
      <c r="X15" s="1">
        <f t="shared" si="54"/>
        <v>1.7515774896012426</v>
      </c>
      <c r="Y15" s="1">
        <f t="shared" si="55"/>
        <v>1.7953669268412737</v>
      </c>
      <c r="Z15" s="1">
        <f t="shared" si="56"/>
        <v>1.8384557330854645</v>
      </c>
      <c r="AA15" s="1">
        <f t="shared" si="57"/>
        <v>1.8808816346182056</v>
      </c>
      <c r="AB15" s="1">
        <f t="shared" si="58"/>
        <v>1.9226790042763879</v>
      </c>
      <c r="AC15" s="1">
        <f t="shared" si="59"/>
        <v>1.963879268653739</v>
      </c>
      <c r="AD15" s="1">
        <f t="shared" si="60"/>
        <v>2.0045112535224368</v>
      </c>
      <c r="AE15" s="1">
        <f t="shared" si="61"/>
        <v>2.0446014785928859</v>
      </c>
      <c r="AF15">
        <f t="shared" si="62"/>
        <v>1.25</v>
      </c>
    </row>
    <row r="16" spans="1:37" x14ac:dyDescent="0.25">
      <c r="A16" s="6"/>
      <c r="B16" s="6"/>
      <c r="C16" s="2">
        <v>5</v>
      </c>
      <c r="D16" s="1">
        <f t="shared" si="34"/>
        <v>0.62985600000000008</v>
      </c>
      <c r="E16" s="1">
        <f t="shared" si="35"/>
        <v>0.72433440000000016</v>
      </c>
      <c r="F16" s="1">
        <f t="shared" si="36"/>
        <v>0.81125452800000009</v>
      </c>
      <c r="G16" s="1">
        <f t="shared" si="37"/>
        <v>0.89237998079999992</v>
      </c>
      <c r="H16" s="1">
        <f t="shared" si="38"/>
        <v>0.96886969344000018</v>
      </c>
      <c r="I16" s="1">
        <f t="shared" si="39"/>
        <v>1.0415349204480002</v>
      </c>
      <c r="J16" s="1">
        <f t="shared" si="40"/>
        <v>1.1109705818112003</v>
      </c>
      <c r="K16" s="1">
        <f t="shared" si="41"/>
        <v>1.1776288167198719</v>
      </c>
      <c r="L16" s="1">
        <f t="shared" si="42"/>
        <v>1.241863115813683</v>
      </c>
      <c r="M16" s="1">
        <f t="shared" si="43"/>
        <v>1.3039562716043669</v>
      </c>
      <c r="N16" s="1">
        <f t="shared" si="44"/>
        <v>1.3641388687553382</v>
      </c>
      <c r="O16" s="1">
        <f t="shared" si="45"/>
        <v>1.4226019631305666</v>
      </c>
      <c r="P16" s="1">
        <f t="shared" si="46"/>
        <v>1.4795060416557897</v>
      </c>
      <c r="Q16" s="1">
        <f t="shared" si="47"/>
        <v>1.5349875182178818</v>
      </c>
      <c r="R16" s="1">
        <f t="shared" si="48"/>
        <v>1.5891635482726307</v>
      </c>
      <c r="S16" s="1">
        <f t="shared" si="49"/>
        <v>1.6421356665483853</v>
      </c>
      <c r="T16" s="1">
        <f t="shared" si="50"/>
        <v>1.693992582334124</v>
      </c>
      <c r="U16" s="1">
        <f t="shared" si="51"/>
        <v>1.7448123598041478</v>
      </c>
      <c r="V16" s="1">
        <f t="shared" si="52"/>
        <v>1.7946641415128375</v>
      </c>
      <c r="W16" s="1">
        <f t="shared" si="53"/>
        <v>1.84360952719046</v>
      </c>
      <c r="X16" s="1">
        <f t="shared" si="54"/>
        <v>1.8917036887693421</v>
      </c>
      <c r="Y16" s="1">
        <f t="shared" si="55"/>
        <v>1.9389962809885757</v>
      </c>
      <c r="Z16" s="1">
        <f t="shared" si="56"/>
        <v>1.9855321917323017</v>
      </c>
      <c r="AA16" s="1">
        <f t="shared" si="57"/>
        <v>2.0313521653876623</v>
      </c>
      <c r="AB16" s="1">
        <f t="shared" si="58"/>
        <v>2.0764933246184989</v>
      </c>
      <c r="AC16" s="1">
        <f t="shared" si="59"/>
        <v>2.1209896101460379</v>
      </c>
      <c r="AD16" s="1">
        <f t="shared" si="60"/>
        <v>2.1648721538042315</v>
      </c>
      <c r="AE16" s="1">
        <f t="shared" si="61"/>
        <v>2.2081695968803166</v>
      </c>
      <c r="AF16">
        <f t="shared" si="62"/>
        <v>1.2</v>
      </c>
    </row>
    <row r="17" spans="1:33" x14ac:dyDescent="0.25">
      <c r="A17" s="6"/>
      <c r="B17" s="6"/>
      <c r="C17" s="2">
        <v>6</v>
      </c>
      <c r="D17" s="1">
        <f t="shared" si="34"/>
        <v>0.66134880000000018</v>
      </c>
      <c r="E17" s="1">
        <f t="shared" si="35"/>
        <v>0.76055112000000025</v>
      </c>
      <c r="F17" s="1">
        <f t="shared" si="36"/>
        <v>0.85181725440000022</v>
      </c>
      <c r="G17" s="1">
        <f t="shared" si="37"/>
        <v>0.93699897983999991</v>
      </c>
      <c r="H17" s="1">
        <f t="shared" si="38"/>
        <v>1.0173131781120004</v>
      </c>
      <c r="I17" s="1">
        <f t="shared" si="39"/>
        <v>1.0936116664704003</v>
      </c>
      <c r="J17" s="1">
        <f t="shared" si="40"/>
        <v>1.1665191109017605</v>
      </c>
      <c r="K17" s="1">
        <f t="shared" si="41"/>
        <v>1.2365102575558655</v>
      </c>
      <c r="L17" s="1">
        <f t="shared" si="42"/>
        <v>1.3039562716043673</v>
      </c>
      <c r="M17" s="1">
        <f t="shared" si="43"/>
        <v>1.3691540851845854</v>
      </c>
      <c r="N17" s="1">
        <f t="shared" si="44"/>
        <v>1.4323458121931052</v>
      </c>
      <c r="O17" s="1">
        <f t="shared" si="45"/>
        <v>1.493732061287095</v>
      </c>
      <c r="P17" s="1">
        <f t="shared" si="46"/>
        <v>1.5534813437385793</v>
      </c>
      <c r="Q17" s="1">
        <f t="shared" si="47"/>
        <v>1.6117368941287762</v>
      </c>
      <c r="R17" s="1">
        <f t="shared" si="48"/>
        <v>1.6686217256862623</v>
      </c>
      <c r="S17" s="1">
        <f t="shared" si="49"/>
        <v>1.7242424498758047</v>
      </c>
      <c r="T17" s="1">
        <f t="shared" si="50"/>
        <v>1.7786922114508303</v>
      </c>
      <c r="U17" s="1">
        <f t="shared" si="51"/>
        <v>1.8320529777943553</v>
      </c>
      <c r="V17" s="1">
        <f t="shared" si="52"/>
        <v>1.8843973485884795</v>
      </c>
      <c r="W17" s="1">
        <f t="shared" si="53"/>
        <v>1.9357900035499831</v>
      </c>
      <c r="X17" s="1">
        <f t="shared" si="54"/>
        <v>1.9862888732078094</v>
      </c>
      <c r="Y17" s="1">
        <f t="shared" si="55"/>
        <v>2.0359460950380046</v>
      </c>
      <c r="Z17" s="1">
        <f t="shared" si="56"/>
        <v>2.0848088013189172</v>
      </c>
      <c r="AA17" s="1">
        <f t="shared" si="57"/>
        <v>2.1329197736570458</v>
      </c>
      <c r="AB17" s="1">
        <f t="shared" si="58"/>
        <v>2.1803179908494239</v>
      </c>
      <c r="AC17" s="1">
        <f t="shared" si="59"/>
        <v>2.2270390906533399</v>
      </c>
      <c r="AD17" s="1">
        <f t="shared" si="60"/>
        <v>2.2731157614944433</v>
      </c>
      <c r="AE17" s="1">
        <f t="shared" si="61"/>
        <v>2.3185780767243327</v>
      </c>
      <c r="AF17">
        <f t="shared" si="62"/>
        <v>1.1666666666666667</v>
      </c>
    </row>
    <row r="18" spans="1:33" x14ac:dyDescent="0.25">
      <c r="A18" s="6"/>
      <c r="B18" s="6"/>
      <c r="C18" s="2">
        <v>7</v>
      </c>
      <c r="D18" s="1">
        <f t="shared" si="34"/>
        <v>0.68024448000000015</v>
      </c>
      <c r="E18" s="1">
        <f t="shared" si="35"/>
        <v>0.78228115200000015</v>
      </c>
      <c r="F18" s="1">
        <f t="shared" si="36"/>
        <v>0.87615489024000015</v>
      </c>
      <c r="G18" s="1">
        <f t="shared" si="37"/>
        <v>0.96377037926399989</v>
      </c>
      <c r="H18" s="1">
        <f t="shared" si="38"/>
        <v>1.0463792689152005</v>
      </c>
      <c r="I18" s="1">
        <f t="shared" si="39"/>
        <v>1.1248577140838403</v>
      </c>
      <c r="J18" s="1">
        <f t="shared" si="40"/>
        <v>1.1998482283560965</v>
      </c>
      <c r="K18" s="1">
        <f t="shared" si="41"/>
        <v>1.2718391220574616</v>
      </c>
      <c r="L18" s="1">
        <f t="shared" si="42"/>
        <v>1.3412121650787778</v>
      </c>
      <c r="M18" s="1">
        <f t="shared" si="43"/>
        <v>1.4082727733327163</v>
      </c>
      <c r="N18" s="1">
        <f t="shared" si="44"/>
        <v>1.4732699782557652</v>
      </c>
      <c r="O18" s="1">
        <f t="shared" si="45"/>
        <v>1.5364101201810119</v>
      </c>
      <c r="P18" s="1">
        <f t="shared" si="46"/>
        <v>1.5978665249882529</v>
      </c>
      <c r="Q18" s="1">
        <f t="shared" si="47"/>
        <v>1.6577865196753125</v>
      </c>
      <c r="R18" s="1">
        <f t="shared" si="48"/>
        <v>1.7162966321344413</v>
      </c>
      <c r="S18" s="1">
        <f t="shared" si="49"/>
        <v>1.7735065198722562</v>
      </c>
      <c r="T18" s="1">
        <f t="shared" si="50"/>
        <v>1.829511988920854</v>
      </c>
      <c r="U18" s="1">
        <f t="shared" si="51"/>
        <v>1.8843973485884795</v>
      </c>
      <c r="V18" s="1">
        <f t="shared" si="52"/>
        <v>1.9382372728338646</v>
      </c>
      <c r="W18" s="1">
        <f t="shared" si="53"/>
        <v>1.9910982893656968</v>
      </c>
      <c r="X18" s="1">
        <f t="shared" si="54"/>
        <v>2.0430399838708895</v>
      </c>
      <c r="Y18" s="1">
        <f t="shared" si="55"/>
        <v>2.0941159834676619</v>
      </c>
      <c r="Z18" s="1">
        <f t="shared" si="56"/>
        <v>2.1443747670708864</v>
      </c>
      <c r="AA18" s="1">
        <f t="shared" si="57"/>
        <v>2.1938603386186757</v>
      </c>
      <c r="AB18" s="1">
        <f t="shared" si="58"/>
        <v>2.2426127905879789</v>
      </c>
      <c r="AC18" s="1">
        <f t="shared" si="59"/>
        <v>2.2906687789577211</v>
      </c>
      <c r="AD18" s="1">
        <f t="shared" si="60"/>
        <v>2.33806192610857</v>
      </c>
      <c r="AE18" s="1">
        <f t="shared" si="61"/>
        <v>2.3848231646307423</v>
      </c>
      <c r="AF18">
        <f t="shared" si="62"/>
        <v>1.1428571428571428</v>
      </c>
    </row>
    <row r="19" spans="1:33" x14ac:dyDescent="0.25">
      <c r="A19" s="6"/>
      <c r="B19" s="6"/>
      <c r="C19" s="2">
        <v>8</v>
      </c>
      <c r="D19" s="1">
        <f t="shared" si="34"/>
        <v>0.68874753600000016</v>
      </c>
      <c r="E19" s="1">
        <f t="shared" si="35"/>
        <v>0.79205966640000014</v>
      </c>
      <c r="F19" s="1">
        <f t="shared" si="36"/>
        <v>0.8871068263680002</v>
      </c>
      <c r="G19" s="1">
        <f t="shared" si="37"/>
        <v>0.9758175090047998</v>
      </c>
      <c r="H19" s="1">
        <f t="shared" si="38"/>
        <v>1.0594590097766405</v>
      </c>
      <c r="I19" s="1">
        <f t="shared" si="39"/>
        <v>1.1389184355098882</v>
      </c>
      <c r="J19" s="1">
        <f t="shared" si="40"/>
        <v>1.2148463312105477</v>
      </c>
      <c r="K19" s="1">
        <f t="shared" si="41"/>
        <v>1.2877371110831799</v>
      </c>
      <c r="L19" s="1">
        <f t="shared" si="42"/>
        <v>1.3579773171422627</v>
      </c>
      <c r="M19" s="1">
        <f t="shared" si="43"/>
        <v>1.4258761829993751</v>
      </c>
      <c r="N19" s="1">
        <f t="shared" si="44"/>
        <v>1.4916858529839623</v>
      </c>
      <c r="O19" s="1">
        <f t="shared" si="45"/>
        <v>1.5556152466832744</v>
      </c>
      <c r="P19" s="1">
        <f t="shared" si="46"/>
        <v>1.6178398565506062</v>
      </c>
      <c r="Q19" s="1">
        <f t="shared" si="47"/>
        <v>1.678508851171254</v>
      </c>
      <c r="R19" s="1">
        <f t="shared" si="48"/>
        <v>1.7377503400361218</v>
      </c>
      <c r="S19" s="1">
        <f t="shared" si="49"/>
        <v>1.7956753513706594</v>
      </c>
      <c r="T19" s="1">
        <f t="shared" si="50"/>
        <v>1.8523808887823647</v>
      </c>
      <c r="U19" s="1">
        <f t="shared" si="51"/>
        <v>1.9079523154458358</v>
      </c>
      <c r="V19" s="1">
        <f t="shared" si="52"/>
        <v>1.962465238744288</v>
      </c>
      <c r="W19" s="1">
        <f t="shared" si="53"/>
        <v>2.0159870179827677</v>
      </c>
      <c r="X19" s="1">
        <f t="shared" si="54"/>
        <v>2.0685779836692757</v>
      </c>
      <c r="Y19" s="1">
        <f t="shared" si="55"/>
        <v>2.120292433261008</v>
      </c>
      <c r="Z19" s="1">
        <f t="shared" si="56"/>
        <v>2.1711794516592726</v>
      </c>
      <c r="AA19" s="1">
        <f t="shared" si="57"/>
        <v>2.2212835928514094</v>
      </c>
      <c r="AB19" s="1">
        <f t="shared" si="58"/>
        <v>2.2706454504703291</v>
      </c>
      <c r="AC19" s="1">
        <f t="shared" si="59"/>
        <v>2.3193021386946926</v>
      </c>
      <c r="AD19" s="1">
        <f t="shared" si="60"/>
        <v>2.3672877001849271</v>
      </c>
      <c r="AE19" s="1">
        <f t="shared" si="61"/>
        <v>2.4146334541886265</v>
      </c>
      <c r="AF19">
        <f t="shared" si="62"/>
        <v>1.125</v>
      </c>
    </row>
    <row r="20" spans="1:33" x14ac:dyDescent="0.25">
      <c r="A20" s="6"/>
      <c r="B20" s="5" t="s">
        <v>15</v>
      </c>
      <c r="C20" s="2">
        <v>1</v>
      </c>
      <c r="D20" s="1">
        <f>D12*0.8</f>
        <v>0.25600000000000006</v>
      </c>
      <c r="E20" s="1">
        <f t="shared" ref="E20:AE20" si="63">E12*0.8</f>
        <v>0.2944</v>
      </c>
      <c r="F20" s="1">
        <f t="shared" si="63"/>
        <v>0.32972800000000002</v>
      </c>
      <c r="G20" s="1">
        <f t="shared" si="63"/>
        <v>0.36270080000000005</v>
      </c>
      <c r="H20" s="1">
        <f t="shared" si="63"/>
        <v>0.39378943999999999</v>
      </c>
      <c r="I20" s="1">
        <f t="shared" si="63"/>
        <v>0.423323648</v>
      </c>
      <c r="J20" s="1">
        <f t="shared" si="63"/>
        <v>0.45154522453333334</v>
      </c>
      <c r="K20" s="1">
        <f t="shared" si="63"/>
        <v>0.47863793800533333</v>
      </c>
      <c r="L20" s="1">
        <f t="shared" si="63"/>
        <v>0.50474546189653324</v>
      </c>
      <c r="M20" s="1">
        <f t="shared" si="63"/>
        <v>0.52998273499135995</v>
      </c>
      <c r="N20" s="1">
        <f t="shared" si="63"/>
        <v>0.55444347660634585</v>
      </c>
      <c r="O20" s="1">
        <f t="shared" si="63"/>
        <v>0.57820533988947498</v>
      </c>
      <c r="P20" s="1">
        <f t="shared" si="63"/>
        <v>0.60133355348505402</v>
      </c>
      <c r="Q20" s="1">
        <f t="shared" si="63"/>
        <v>0.62388356174074355</v>
      </c>
      <c r="R20" s="1">
        <f t="shared" si="63"/>
        <v>0.64590298156688752</v>
      </c>
      <c r="S20" s="1">
        <f t="shared" si="63"/>
        <v>0.66743308095245046</v>
      </c>
      <c r="T20" s="1">
        <f t="shared" si="63"/>
        <v>0.68850991508779114</v>
      </c>
      <c r="U20" s="1">
        <f t="shared" si="63"/>
        <v>0.70916521254042486</v>
      </c>
      <c r="V20" s="1">
        <f t="shared" si="63"/>
        <v>0.72942707575586541</v>
      </c>
      <c r="W20" s="1">
        <f t="shared" si="63"/>
        <v>0.74932054145829818</v>
      </c>
      <c r="X20" s="1">
        <f t="shared" si="63"/>
        <v>0.76886803384416691</v>
      </c>
      <c r="Y20" s="1">
        <f t="shared" si="63"/>
        <v>0.7880897346902711</v>
      </c>
      <c r="Z20" s="1">
        <f t="shared" si="63"/>
        <v>0.80700388832283765</v>
      </c>
      <c r="AA20" s="1">
        <f t="shared" si="63"/>
        <v>0.82562705497644151</v>
      </c>
      <c r="AB20" s="1">
        <f t="shared" si="63"/>
        <v>0.84397432286480678</v>
      </c>
      <c r="AC20" s="1">
        <f t="shared" si="63"/>
        <v>0.86205948692619538</v>
      </c>
      <c r="AD20" s="1">
        <f t="shared" si="63"/>
        <v>0.87989520044880631</v>
      </c>
      <c r="AE20" s="1">
        <f t="shared" si="63"/>
        <v>0.89749310445778241</v>
      </c>
    </row>
    <row r="21" spans="1:33" x14ac:dyDescent="0.25">
      <c r="A21" s="6"/>
      <c r="B21" s="6"/>
      <c r="C21" s="2">
        <v>2</v>
      </c>
      <c r="D21" s="1">
        <f>D20*$AF21*$AG$5</f>
        <v>0.34560000000000013</v>
      </c>
      <c r="E21" s="1">
        <f t="shared" ref="E21:AE21" si="64">E20*$AF21*$AG$5</f>
        <v>0.39744000000000002</v>
      </c>
      <c r="F21" s="1">
        <f t="shared" si="64"/>
        <v>0.44513280000000005</v>
      </c>
      <c r="G21" s="1">
        <f t="shared" si="64"/>
        <v>0.48964608000000009</v>
      </c>
      <c r="H21" s="1">
        <f t="shared" si="64"/>
        <v>0.531615744</v>
      </c>
      <c r="I21" s="1">
        <f t="shared" si="64"/>
        <v>0.57148692479999996</v>
      </c>
      <c r="J21" s="1">
        <f t="shared" si="64"/>
        <v>0.60958605312000003</v>
      </c>
      <c r="K21" s="1">
        <f t="shared" si="64"/>
        <v>0.64616121630720003</v>
      </c>
      <c r="L21" s="1">
        <f t="shared" si="64"/>
        <v>0.68140637356031986</v>
      </c>
      <c r="M21" s="1">
        <f t="shared" si="64"/>
        <v>0.71547669223833599</v>
      </c>
      <c r="N21" s="1">
        <f t="shared" si="64"/>
        <v>0.7484986934185669</v>
      </c>
      <c r="O21" s="1">
        <f t="shared" si="64"/>
        <v>0.78057720885079129</v>
      </c>
      <c r="P21" s="1">
        <f t="shared" si="64"/>
        <v>0.81180029720482294</v>
      </c>
      <c r="Q21" s="1">
        <f t="shared" si="64"/>
        <v>0.84224280835000387</v>
      </c>
      <c r="R21" s="1">
        <f t="shared" si="64"/>
        <v>0.87196902511529817</v>
      </c>
      <c r="S21" s="1">
        <f t="shared" si="64"/>
        <v>0.90103465928580817</v>
      </c>
      <c r="T21" s="1">
        <f t="shared" si="64"/>
        <v>0.92948838536851808</v>
      </c>
      <c r="U21" s="1">
        <f t="shared" si="64"/>
        <v>0.95737303692957354</v>
      </c>
      <c r="V21" s="1">
        <f t="shared" si="64"/>
        <v>0.98472655227041828</v>
      </c>
      <c r="W21" s="1">
        <f t="shared" si="64"/>
        <v>1.0115827309687027</v>
      </c>
      <c r="X21" s="1">
        <f t="shared" si="64"/>
        <v>1.0379718456896254</v>
      </c>
      <c r="Y21" s="1">
        <f t="shared" si="64"/>
        <v>1.0639211418318659</v>
      </c>
      <c r="Z21" s="1">
        <f t="shared" si="64"/>
        <v>1.0894552492358309</v>
      </c>
      <c r="AA21" s="1">
        <f t="shared" si="64"/>
        <v>1.1145965242181961</v>
      </c>
      <c r="AB21" s="1">
        <f t="shared" si="64"/>
        <v>1.1393653358674893</v>
      </c>
      <c r="AC21" s="1">
        <f t="shared" si="64"/>
        <v>1.1637803073503639</v>
      </c>
      <c r="AD21" s="1">
        <f t="shared" si="64"/>
        <v>1.1878585206058885</v>
      </c>
      <c r="AE21" s="1">
        <f t="shared" si="64"/>
        <v>1.2116156910180063</v>
      </c>
      <c r="AF21">
        <f>1+C30</f>
        <v>1.5</v>
      </c>
    </row>
    <row r="22" spans="1:33" x14ac:dyDescent="0.25">
      <c r="A22" s="6"/>
      <c r="B22" s="6"/>
      <c r="C22" s="2">
        <v>3</v>
      </c>
      <c r="D22" s="1">
        <f t="shared" ref="D22:D27" si="65">D21*$AF22*$AG$5</f>
        <v>0.41472000000000014</v>
      </c>
      <c r="E22" s="1">
        <f t="shared" ref="E22:E27" si="66">E21*$AF22*$AG$5</f>
        <v>0.47692799999999996</v>
      </c>
      <c r="F22" s="1">
        <f t="shared" ref="F22:F27" si="67">F21*$AF22*$AG$5</f>
        <v>0.53415935999999997</v>
      </c>
      <c r="G22" s="1">
        <f t="shared" ref="G22:G27" si="68">G21*$AF22*$AG$5</f>
        <v>0.58757529600000014</v>
      </c>
      <c r="H22" s="1">
        <f t="shared" ref="H22:H27" si="69">H21*$AF22*$AG$5</f>
        <v>0.63793889279999993</v>
      </c>
      <c r="I22" s="1">
        <f t="shared" ref="I22:I27" si="70">I21*$AF22*$AG$5</f>
        <v>0.68578430975999993</v>
      </c>
      <c r="J22" s="1">
        <f t="shared" ref="J22:J27" si="71">J21*$AF22*$AG$5</f>
        <v>0.73150326374399999</v>
      </c>
      <c r="K22" s="1">
        <f t="shared" ref="K22:K27" si="72">K21*$AF22*$AG$5</f>
        <v>0.77539345956864003</v>
      </c>
      <c r="L22" s="1">
        <f t="shared" ref="L22:L27" si="73">L21*$AF22*$AG$5</f>
        <v>0.81768764827238383</v>
      </c>
      <c r="M22" s="1">
        <f t="shared" ref="M22:M27" si="74">M21*$AF22*$AG$5</f>
        <v>0.85857203068600318</v>
      </c>
      <c r="N22" s="1">
        <f t="shared" ref="N22:N27" si="75">N21*$AF22*$AG$5</f>
        <v>0.89819843210228023</v>
      </c>
      <c r="O22" s="1">
        <f t="shared" ref="O22:O27" si="76">O21*$AF22*$AG$5</f>
        <v>0.93669265062094953</v>
      </c>
      <c r="P22" s="1">
        <f t="shared" ref="P22:P27" si="77">P21*$AF22*$AG$5</f>
        <v>0.9741603566457876</v>
      </c>
      <c r="Q22" s="1">
        <f t="shared" ref="Q22:Q27" si="78">Q21*$AF22*$AG$5</f>
        <v>1.0106913700200046</v>
      </c>
      <c r="R22" s="1">
        <f t="shared" ref="R22:R27" si="79">R21*$AF22*$AG$5</f>
        <v>1.0463628301383576</v>
      </c>
      <c r="S22" s="1">
        <f t="shared" ref="S22:S27" si="80">S21*$AF22*$AG$5</f>
        <v>1.0812415911429698</v>
      </c>
      <c r="T22" s="1">
        <f t="shared" ref="T22:T27" si="81">T21*$AF22*$AG$5</f>
        <v>1.1153860624422216</v>
      </c>
      <c r="U22" s="1">
        <f t="shared" ref="U22:U27" si="82">U21*$AF22*$AG$5</f>
        <v>1.1488476443154882</v>
      </c>
      <c r="V22" s="1">
        <f t="shared" ref="V22:V27" si="83">V21*$AF22*$AG$5</f>
        <v>1.1816718627245018</v>
      </c>
      <c r="W22" s="1">
        <f t="shared" ref="W22:W27" si="84">W21*$AF22*$AG$5</f>
        <v>1.2138992771624431</v>
      </c>
      <c r="X22" s="1">
        <f t="shared" ref="X22:X27" si="85">X21*$AF22*$AG$5</f>
        <v>1.2455662148275504</v>
      </c>
      <c r="Y22" s="1">
        <f t="shared" ref="Y22:Y27" si="86">Y21*$AF22*$AG$5</f>
        <v>1.2767053701982392</v>
      </c>
      <c r="Z22" s="1">
        <f t="shared" ref="Z22:Z27" si="87">Z21*$AF22*$AG$5</f>
        <v>1.3073462990829972</v>
      </c>
      <c r="AA22" s="1">
        <f t="shared" ref="AA22:AA27" si="88">AA21*$AF22*$AG$5</f>
        <v>1.3375158290618354</v>
      </c>
      <c r="AB22" s="1">
        <f t="shared" ref="AB22:AB27" si="89">AB21*$AF22*$AG$5</f>
        <v>1.3672384030409872</v>
      </c>
      <c r="AC22" s="1">
        <f t="shared" ref="AC22:AC27" si="90">AC21*$AF22*$AG$5</f>
        <v>1.3965363688204366</v>
      </c>
      <c r="AD22" s="1">
        <f t="shared" ref="AD22:AD27" si="91">AD21*$AF22*$AG$5</f>
        <v>1.425430224727066</v>
      </c>
      <c r="AE22" s="1">
        <f t="shared" ref="AE22:AE27" si="92">AE21*$AF22*$AG$5</f>
        <v>1.4539388292216076</v>
      </c>
      <c r="AF22">
        <f t="shared" ref="AF22:AF27" si="93">1+C31</f>
        <v>1.3333333333333333</v>
      </c>
    </row>
    <row r="23" spans="1:33" x14ac:dyDescent="0.25">
      <c r="A23" s="6"/>
      <c r="B23" s="6"/>
      <c r="C23" s="2">
        <v>4</v>
      </c>
      <c r="D23" s="1">
        <f t="shared" si="65"/>
        <v>0.4665600000000002</v>
      </c>
      <c r="E23" s="1">
        <f t="shared" si="66"/>
        <v>0.53654399999999991</v>
      </c>
      <c r="F23" s="1">
        <f t="shared" si="67"/>
        <v>0.60092928000000001</v>
      </c>
      <c r="G23" s="1">
        <f t="shared" si="68"/>
        <v>0.66102220800000022</v>
      </c>
      <c r="H23" s="1">
        <f t="shared" si="69"/>
        <v>0.71768125439999997</v>
      </c>
      <c r="I23" s="1">
        <f t="shared" si="70"/>
        <v>0.77150734847999991</v>
      </c>
      <c r="J23" s="1">
        <f t="shared" si="71"/>
        <v>0.82294117171199999</v>
      </c>
      <c r="K23" s="1">
        <f t="shared" si="72"/>
        <v>0.87231764201472006</v>
      </c>
      <c r="L23" s="1">
        <f t="shared" si="73"/>
        <v>0.91989860430643178</v>
      </c>
      <c r="M23" s="1">
        <f t="shared" si="74"/>
        <v>0.96589353452175375</v>
      </c>
      <c r="N23" s="1">
        <f t="shared" si="75"/>
        <v>1.0104732361150652</v>
      </c>
      <c r="O23" s="1">
        <f t="shared" si="76"/>
        <v>1.0537792319485682</v>
      </c>
      <c r="P23" s="1">
        <f t="shared" si="77"/>
        <v>1.095930401226511</v>
      </c>
      <c r="Q23" s="1">
        <f t="shared" si="78"/>
        <v>1.1370277912725053</v>
      </c>
      <c r="R23" s="1">
        <f t="shared" si="79"/>
        <v>1.1771581839056524</v>
      </c>
      <c r="S23" s="1">
        <f t="shared" si="80"/>
        <v>1.216396790035841</v>
      </c>
      <c r="T23" s="1">
        <f t="shared" si="81"/>
        <v>1.2548093202474992</v>
      </c>
      <c r="U23" s="1">
        <f t="shared" si="82"/>
        <v>1.2924535998549243</v>
      </c>
      <c r="V23" s="1">
        <f t="shared" si="83"/>
        <v>1.3293808455650644</v>
      </c>
      <c r="W23" s="1">
        <f t="shared" si="84"/>
        <v>1.3656366868077485</v>
      </c>
      <c r="X23" s="1">
        <f t="shared" si="85"/>
        <v>1.4012619916809943</v>
      </c>
      <c r="Y23" s="1">
        <f t="shared" si="86"/>
        <v>1.4362935414730191</v>
      </c>
      <c r="Z23" s="1">
        <f t="shared" si="87"/>
        <v>1.4707645864683718</v>
      </c>
      <c r="AA23" s="1">
        <f t="shared" si="88"/>
        <v>1.5047053076945649</v>
      </c>
      <c r="AB23" s="1">
        <f t="shared" si="89"/>
        <v>1.5381432034211107</v>
      </c>
      <c r="AC23" s="1">
        <f t="shared" si="90"/>
        <v>1.5711034149229912</v>
      </c>
      <c r="AD23" s="1">
        <f t="shared" si="91"/>
        <v>1.6036090028179493</v>
      </c>
      <c r="AE23" s="1">
        <f t="shared" si="92"/>
        <v>1.6356811828743085</v>
      </c>
      <c r="AF23">
        <f t="shared" si="93"/>
        <v>1.25</v>
      </c>
    </row>
    <row r="24" spans="1:33" x14ac:dyDescent="0.25">
      <c r="A24" s="6"/>
      <c r="B24" s="6"/>
      <c r="C24" s="2">
        <v>5</v>
      </c>
      <c r="D24" s="1">
        <f t="shared" si="65"/>
        <v>0.50388480000000024</v>
      </c>
      <c r="E24" s="1">
        <f t="shared" si="66"/>
        <v>0.5794675199999999</v>
      </c>
      <c r="F24" s="1">
        <f t="shared" si="67"/>
        <v>0.64900362239999998</v>
      </c>
      <c r="G24" s="1">
        <f t="shared" si="68"/>
        <v>0.71390398464000027</v>
      </c>
      <c r="H24" s="1">
        <f t="shared" si="69"/>
        <v>0.77509575475199999</v>
      </c>
      <c r="I24" s="1">
        <f t="shared" si="70"/>
        <v>0.83322793635839987</v>
      </c>
      <c r="J24" s="1">
        <f t="shared" si="71"/>
        <v>0.88877646544896005</v>
      </c>
      <c r="K24" s="1">
        <f t="shared" si="72"/>
        <v>0.94210305337589761</v>
      </c>
      <c r="L24" s="1">
        <f t="shared" si="73"/>
        <v>0.99349049265094624</v>
      </c>
      <c r="M24" s="1">
        <f t="shared" si="74"/>
        <v>1.0431650172834941</v>
      </c>
      <c r="N24" s="1">
        <f t="shared" si="75"/>
        <v>1.0913110950042704</v>
      </c>
      <c r="O24" s="1">
        <f t="shared" si="76"/>
        <v>1.1380815705044536</v>
      </c>
      <c r="P24" s="1">
        <f t="shared" si="77"/>
        <v>1.1836048333246318</v>
      </c>
      <c r="Q24" s="1">
        <f t="shared" si="78"/>
        <v>1.2279900145743057</v>
      </c>
      <c r="R24" s="1">
        <f t="shared" si="79"/>
        <v>1.2713308386181046</v>
      </c>
      <c r="S24" s="1">
        <f t="shared" si="80"/>
        <v>1.3137085332387082</v>
      </c>
      <c r="T24" s="1">
        <f t="shared" si="81"/>
        <v>1.3551940658672992</v>
      </c>
      <c r="U24" s="1">
        <f t="shared" si="82"/>
        <v>1.3958498878433181</v>
      </c>
      <c r="V24" s="1">
        <f t="shared" si="83"/>
        <v>1.4357313132102696</v>
      </c>
      <c r="W24" s="1">
        <f t="shared" si="84"/>
        <v>1.4748876217523685</v>
      </c>
      <c r="X24" s="1">
        <f t="shared" si="85"/>
        <v>1.5133629510154738</v>
      </c>
      <c r="Y24" s="1">
        <f t="shared" si="86"/>
        <v>1.5511970247908606</v>
      </c>
      <c r="Z24" s="1">
        <f t="shared" si="87"/>
        <v>1.5884257533858415</v>
      </c>
      <c r="AA24" s="1">
        <f t="shared" si="88"/>
        <v>1.6250817323101301</v>
      </c>
      <c r="AB24" s="1">
        <f t="shared" si="89"/>
        <v>1.6611946596947995</v>
      </c>
      <c r="AC24" s="1">
        <f t="shared" si="90"/>
        <v>1.6967916881168306</v>
      </c>
      <c r="AD24" s="1">
        <f t="shared" si="91"/>
        <v>1.7318977230433852</v>
      </c>
      <c r="AE24" s="1">
        <f t="shared" si="92"/>
        <v>1.7665356775042531</v>
      </c>
      <c r="AF24">
        <f t="shared" si="93"/>
        <v>1.2</v>
      </c>
    </row>
    <row r="25" spans="1:33" x14ac:dyDescent="0.25">
      <c r="A25" s="6"/>
      <c r="B25" s="6"/>
      <c r="C25" s="2">
        <v>6</v>
      </c>
      <c r="D25" s="1">
        <f t="shared" si="65"/>
        <v>0.52907904000000028</v>
      </c>
      <c r="E25" s="1">
        <f t="shared" si="66"/>
        <v>0.60844089599999995</v>
      </c>
      <c r="F25" s="1">
        <f t="shared" si="67"/>
        <v>0.68145380352000007</v>
      </c>
      <c r="G25" s="1">
        <f t="shared" si="68"/>
        <v>0.74959918387200031</v>
      </c>
      <c r="H25" s="1">
        <f t="shared" si="69"/>
        <v>0.81385054248959998</v>
      </c>
      <c r="I25" s="1">
        <f t="shared" si="70"/>
        <v>0.87488933317631989</v>
      </c>
      <c r="J25" s="1">
        <f t="shared" si="71"/>
        <v>0.93321528872140813</v>
      </c>
      <c r="K25" s="1">
        <f t="shared" si="72"/>
        <v>0.98920820604469262</v>
      </c>
      <c r="L25" s="1">
        <f t="shared" si="73"/>
        <v>1.0431650172834936</v>
      </c>
      <c r="M25" s="1">
        <f t="shared" si="74"/>
        <v>1.095323268147669</v>
      </c>
      <c r="N25" s="1">
        <f t="shared" si="75"/>
        <v>1.1458766497544839</v>
      </c>
      <c r="O25" s="1">
        <f t="shared" si="76"/>
        <v>1.1949856490296762</v>
      </c>
      <c r="P25" s="1">
        <f t="shared" si="77"/>
        <v>1.2427850749908635</v>
      </c>
      <c r="Q25" s="1">
        <f t="shared" si="78"/>
        <v>1.289389515303021</v>
      </c>
      <c r="R25" s="1">
        <f t="shared" si="79"/>
        <v>1.3348973805490099</v>
      </c>
      <c r="S25" s="1">
        <f t="shared" si="80"/>
        <v>1.3793939599006437</v>
      </c>
      <c r="T25" s="1">
        <f t="shared" si="81"/>
        <v>1.4229537691606644</v>
      </c>
      <c r="U25" s="1">
        <f t="shared" si="82"/>
        <v>1.465642382235484</v>
      </c>
      <c r="V25" s="1">
        <f t="shared" si="83"/>
        <v>1.507517878870783</v>
      </c>
      <c r="W25" s="1">
        <f t="shared" si="84"/>
        <v>1.5486320028399869</v>
      </c>
      <c r="X25" s="1">
        <f t="shared" si="85"/>
        <v>1.5890310985662477</v>
      </c>
      <c r="Y25" s="1">
        <f t="shared" si="86"/>
        <v>1.6287568760304039</v>
      </c>
      <c r="Z25" s="1">
        <f t="shared" si="87"/>
        <v>1.6678470410551336</v>
      </c>
      <c r="AA25" s="1">
        <f t="shared" si="88"/>
        <v>1.7063358189256368</v>
      </c>
      <c r="AB25" s="1">
        <f t="shared" si="89"/>
        <v>1.7442543926795395</v>
      </c>
      <c r="AC25" s="1">
        <f t="shared" si="90"/>
        <v>1.7816312725226722</v>
      </c>
      <c r="AD25" s="1">
        <f t="shared" si="91"/>
        <v>1.8184926091955544</v>
      </c>
      <c r="AE25" s="1">
        <f t="shared" si="92"/>
        <v>1.854862461379466</v>
      </c>
      <c r="AF25">
        <f t="shared" si="93"/>
        <v>1.1666666666666667</v>
      </c>
    </row>
    <row r="26" spans="1:33" x14ac:dyDescent="0.25">
      <c r="A26" s="6"/>
      <c r="B26" s="6"/>
      <c r="C26" s="2">
        <v>7</v>
      </c>
      <c r="D26" s="1">
        <f t="shared" si="65"/>
        <v>0.54419558400000023</v>
      </c>
      <c r="E26" s="1">
        <f t="shared" si="66"/>
        <v>0.62582492159999992</v>
      </c>
      <c r="F26" s="1">
        <f t="shared" si="67"/>
        <v>0.70092391219200001</v>
      </c>
      <c r="G26" s="1">
        <f t="shared" si="68"/>
        <v>0.77101630341120031</v>
      </c>
      <c r="H26" s="1">
        <f t="shared" si="69"/>
        <v>0.83710341513216002</v>
      </c>
      <c r="I26" s="1">
        <f t="shared" si="70"/>
        <v>0.89988617126707193</v>
      </c>
      <c r="J26" s="1">
        <f t="shared" si="71"/>
        <v>0.95987858268487691</v>
      </c>
      <c r="K26" s="1">
        <f t="shared" si="72"/>
        <v>1.0174712976459694</v>
      </c>
      <c r="L26" s="1">
        <f t="shared" si="73"/>
        <v>1.072969732063022</v>
      </c>
      <c r="M26" s="1">
        <f t="shared" si="74"/>
        <v>1.1266182186661737</v>
      </c>
      <c r="N26" s="1">
        <f t="shared" si="75"/>
        <v>1.1786159826046121</v>
      </c>
      <c r="O26" s="1">
        <f t="shared" si="76"/>
        <v>1.2291280961448099</v>
      </c>
      <c r="P26" s="1">
        <f t="shared" si="77"/>
        <v>1.2782932199906025</v>
      </c>
      <c r="Q26" s="1">
        <f t="shared" si="78"/>
        <v>1.3262292157402502</v>
      </c>
      <c r="R26" s="1">
        <f t="shared" si="79"/>
        <v>1.3730373057075529</v>
      </c>
      <c r="S26" s="1">
        <f t="shared" si="80"/>
        <v>1.4188052158978051</v>
      </c>
      <c r="T26" s="1">
        <f t="shared" si="81"/>
        <v>1.4636095911366833</v>
      </c>
      <c r="U26" s="1">
        <f t="shared" si="82"/>
        <v>1.5075178788707835</v>
      </c>
      <c r="V26" s="1">
        <f t="shared" si="83"/>
        <v>1.550589818267091</v>
      </c>
      <c r="W26" s="1">
        <f t="shared" si="84"/>
        <v>1.5928786314925578</v>
      </c>
      <c r="X26" s="1">
        <f t="shared" si="85"/>
        <v>1.6344319870967119</v>
      </c>
      <c r="Y26" s="1">
        <f t="shared" si="86"/>
        <v>1.6752927867741296</v>
      </c>
      <c r="Z26" s="1">
        <f t="shared" si="87"/>
        <v>1.7154998136567088</v>
      </c>
      <c r="AA26" s="1">
        <f t="shared" si="88"/>
        <v>1.7550882708949407</v>
      </c>
      <c r="AB26" s="1">
        <f t="shared" si="89"/>
        <v>1.7940902324703834</v>
      </c>
      <c r="AC26" s="1">
        <f t="shared" si="90"/>
        <v>1.8325350231661772</v>
      </c>
      <c r="AD26" s="1">
        <f t="shared" si="91"/>
        <v>1.870449540886856</v>
      </c>
      <c r="AE26" s="1">
        <f t="shared" si="92"/>
        <v>1.9078585317045935</v>
      </c>
      <c r="AF26">
        <f t="shared" si="93"/>
        <v>1.1428571428571428</v>
      </c>
    </row>
    <row r="27" spans="1:33" x14ac:dyDescent="0.25">
      <c r="A27" s="6"/>
      <c r="B27" s="6"/>
      <c r="C27" s="2">
        <v>8</v>
      </c>
      <c r="D27" s="1">
        <f t="shared" si="65"/>
        <v>0.55099802880000026</v>
      </c>
      <c r="E27" s="1">
        <f t="shared" si="66"/>
        <v>0.63364773311999989</v>
      </c>
      <c r="F27" s="1">
        <f t="shared" si="67"/>
        <v>0.70968546109440001</v>
      </c>
      <c r="G27" s="1">
        <f t="shared" si="68"/>
        <v>0.78065400720384037</v>
      </c>
      <c r="H27" s="1">
        <f t="shared" si="69"/>
        <v>0.84756720782131201</v>
      </c>
      <c r="I27" s="1">
        <f t="shared" si="70"/>
        <v>0.91113474840791031</v>
      </c>
      <c r="J27" s="1">
        <f t="shared" si="71"/>
        <v>0.97187706496843795</v>
      </c>
      <c r="K27" s="1">
        <f t="shared" si="72"/>
        <v>1.0301896888665441</v>
      </c>
      <c r="L27" s="1">
        <f t="shared" si="73"/>
        <v>1.0863818537138099</v>
      </c>
      <c r="M27" s="1">
        <f t="shared" si="74"/>
        <v>1.140700946399501</v>
      </c>
      <c r="N27" s="1">
        <f t="shared" si="75"/>
        <v>1.1933486823871697</v>
      </c>
      <c r="O27" s="1">
        <f t="shared" si="76"/>
        <v>1.2444921973466201</v>
      </c>
      <c r="P27" s="1">
        <f t="shared" si="77"/>
        <v>1.2942718852404851</v>
      </c>
      <c r="Q27" s="1">
        <f t="shared" si="78"/>
        <v>1.3428070809370034</v>
      </c>
      <c r="R27" s="1">
        <f t="shared" si="79"/>
        <v>1.3902002720288975</v>
      </c>
      <c r="S27" s="1">
        <f t="shared" si="80"/>
        <v>1.4365402810965278</v>
      </c>
      <c r="T27" s="1">
        <f t="shared" si="81"/>
        <v>1.4819047110258918</v>
      </c>
      <c r="U27" s="1">
        <f t="shared" si="82"/>
        <v>1.5263618523566684</v>
      </c>
      <c r="V27" s="1">
        <f t="shared" si="83"/>
        <v>1.5699721909954298</v>
      </c>
      <c r="W27" s="1">
        <f t="shared" si="84"/>
        <v>1.6127896143862148</v>
      </c>
      <c r="X27" s="1">
        <f t="shared" si="85"/>
        <v>1.6548623869354206</v>
      </c>
      <c r="Y27" s="1">
        <f t="shared" si="86"/>
        <v>1.6962339466088063</v>
      </c>
      <c r="Z27" s="1">
        <f t="shared" si="87"/>
        <v>1.7369435613274178</v>
      </c>
      <c r="AA27" s="1">
        <f t="shared" si="88"/>
        <v>1.7770268742811275</v>
      </c>
      <c r="AB27" s="1">
        <f t="shared" si="89"/>
        <v>1.8165163603762631</v>
      </c>
      <c r="AC27" s="1">
        <f t="shared" si="90"/>
        <v>1.8554417109557546</v>
      </c>
      <c r="AD27" s="1">
        <f t="shared" si="91"/>
        <v>1.8938301601479417</v>
      </c>
      <c r="AE27" s="1">
        <f t="shared" si="92"/>
        <v>1.9317067633509009</v>
      </c>
      <c r="AF27">
        <f t="shared" si="93"/>
        <v>1.125</v>
      </c>
    </row>
    <row r="29" spans="1:33" x14ac:dyDescent="0.25">
      <c r="B29" s="1"/>
      <c r="C29" s="1"/>
      <c r="D29" s="1"/>
      <c r="E29" s="1">
        <f>(E3-D3)/E3</f>
        <v>0.25</v>
      </c>
      <c r="F29" s="1">
        <f t="shared" ref="F29:AE29" si="94">(F3-E3)/F3</f>
        <v>0.2</v>
      </c>
      <c r="G29" s="1">
        <f t="shared" si="94"/>
        <v>0.16666666666666666</v>
      </c>
      <c r="H29" s="1">
        <f t="shared" si="94"/>
        <v>0.14285714285714285</v>
      </c>
      <c r="I29" s="1">
        <f t="shared" si="94"/>
        <v>0.125</v>
      </c>
      <c r="J29" s="1">
        <f t="shared" si="94"/>
        <v>0.1111111111111111</v>
      </c>
      <c r="K29" s="1">
        <f t="shared" si="94"/>
        <v>0.1</v>
      </c>
      <c r="L29" s="1">
        <f t="shared" si="94"/>
        <v>9.0909090909090912E-2</v>
      </c>
      <c r="M29" s="1">
        <f t="shared" si="94"/>
        <v>8.3333333333333329E-2</v>
      </c>
      <c r="N29" s="1">
        <f t="shared" si="94"/>
        <v>7.6923076923076927E-2</v>
      </c>
      <c r="O29" s="1">
        <f t="shared" si="94"/>
        <v>7.1428571428571425E-2</v>
      </c>
      <c r="P29" s="1">
        <f t="shared" si="94"/>
        <v>6.6666666666666666E-2</v>
      </c>
      <c r="Q29" s="1">
        <f t="shared" si="94"/>
        <v>6.25E-2</v>
      </c>
      <c r="R29" s="1">
        <f t="shared" si="94"/>
        <v>5.8823529411764705E-2</v>
      </c>
      <c r="S29" s="1">
        <f t="shared" si="94"/>
        <v>5.5555555555555552E-2</v>
      </c>
      <c r="T29" s="1">
        <f t="shared" si="94"/>
        <v>5.2631578947368418E-2</v>
      </c>
      <c r="U29" s="1">
        <f t="shared" si="94"/>
        <v>0.05</v>
      </c>
      <c r="V29" s="1">
        <f t="shared" si="94"/>
        <v>4.7619047619047616E-2</v>
      </c>
      <c r="W29" s="1">
        <f t="shared" si="94"/>
        <v>4.5454545454545456E-2</v>
      </c>
      <c r="X29" s="1">
        <f t="shared" si="94"/>
        <v>4.3478260869565216E-2</v>
      </c>
      <c r="Y29" s="1">
        <f t="shared" si="94"/>
        <v>4.1666666666666664E-2</v>
      </c>
      <c r="Z29" s="1">
        <f t="shared" si="94"/>
        <v>0.04</v>
      </c>
      <c r="AA29" s="1">
        <f t="shared" si="94"/>
        <v>3.8461538461538464E-2</v>
      </c>
      <c r="AB29" s="1">
        <f t="shared" si="94"/>
        <v>3.7037037037037035E-2</v>
      </c>
      <c r="AC29" s="1">
        <f t="shared" si="94"/>
        <v>3.5714285714285712E-2</v>
      </c>
      <c r="AD29" s="1">
        <f t="shared" si="94"/>
        <v>3.4482758620689655E-2</v>
      </c>
      <c r="AE29" s="1">
        <f t="shared" si="94"/>
        <v>3.3333333333333333E-2</v>
      </c>
    </row>
    <row r="30" spans="1:33" x14ac:dyDescent="0.25">
      <c r="B30" s="1">
        <v>2</v>
      </c>
      <c r="C30" s="1">
        <f>(C5-C4)/C5</f>
        <v>0.5</v>
      </c>
    </row>
    <row r="31" spans="1:33" x14ac:dyDescent="0.25">
      <c r="B31" s="1">
        <v>3</v>
      </c>
      <c r="C31" s="1">
        <f>(C6-C5)/C6</f>
        <v>0.33333333333333331</v>
      </c>
    </row>
    <row r="32" spans="1:33" x14ac:dyDescent="0.25">
      <c r="B32" s="1">
        <v>4</v>
      </c>
      <c r="C32" s="1">
        <f>(C7-C6)/C7</f>
        <v>0.25</v>
      </c>
      <c r="AF32" s="1" t="s">
        <v>13</v>
      </c>
      <c r="AG32" s="1" t="s">
        <v>22</v>
      </c>
    </row>
    <row r="33" spans="2:33" x14ac:dyDescent="0.25">
      <c r="B33" s="1">
        <v>5</v>
      </c>
      <c r="C33" s="1">
        <f>(C8-C7)/C8</f>
        <v>0.2</v>
      </c>
      <c r="AF33" s="1" t="s">
        <v>14</v>
      </c>
      <c r="AG33" s="1" t="s">
        <v>23</v>
      </c>
    </row>
    <row r="34" spans="2:33" x14ac:dyDescent="0.25">
      <c r="B34" s="1">
        <v>6</v>
      </c>
      <c r="C34" s="1">
        <f>(C9-C8)/C9</f>
        <v>0.16666666666666666</v>
      </c>
      <c r="AF34" s="1" t="s">
        <v>15</v>
      </c>
      <c r="AG34" s="1" t="s">
        <v>24</v>
      </c>
    </row>
    <row r="35" spans="2:33" x14ac:dyDescent="0.25">
      <c r="B35" s="1">
        <v>7</v>
      </c>
      <c r="C35" s="1">
        <f>(C10-C9)/C10</f>
        <v>0.14285714285714285</v>
      </c>
    </row>
    <row r="36" spans="2:33" x14ac:dyDescent="0.25">
      <c r="B36" s="1">
        <v>8</v>
      </c>
      <c r="C36" s="1">
        <f>(C11-C10)/C11</f>
        <v>0.125</v>
      </c>
    </row>
  </sheetData>
  <mergeCells count="8">
    <mergeCell ref="B20:B27"/>
    <mergeCell ref="A4:A27"/>
    <mergeCell ref="AF2:AF3"/>
    <mergeCell ref="AG2:AG3"/>
    <mergeCell ref="D2:AE2"/>
    <mergeCell ref="C2:C3"/>
    <mergeCell ref="B4:B11"/>
    <mergeCell ref="B12:B19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18E5C5-2957-44CB-A352-92E97B1D9610}">
  <sheetPr codeName="Sheet2"/>
  <dimension ref="C3:D9"/>
  <sheetViews>
    <sheetView workbookViewId="0">
      <selection activeCell="J17" sqref="J17"/>
    </sheetView>
  </sheetViews>
  <sheetFormatPr defaultRowHeight="15" x14ac:dyDescent="0.25"/>
  <cols>
    <col min="3" max="3" width="33.140625" customWidth="1"/>
    <col min="4" max="4" width="19" customWidth="1"/>
  </cols>
  <sheetData>
    <row r="3" spans="3:4" x14ac:dyDescent="0.25">
      <c r="C3" t="s">
        <v>7</v>
      </c>
    </row>
    <row r="4" spans="3:4" x14ac:dyDescent="0.25">
      <c r="C4" t="s">
        <v>8</v>
      </c>
      <c r="D4" t="s">
        <v>20</v>
      </c>
    </row>
    <row r="5" spans="3:4" x14ac:dyDescent="0.25">
      <c r="C5" t="s">
        <v>10</v>
      </c>
      <c r="D5">
        <v>12</v>
      </c>
    </row>
    <row r="6" spans="3:4" x14ac:dyDescent="0.25">
      <c r="C6" t="s">
        <v>9</v>
      </c>
      <c r="D6">
        <v>4</v>
      </c>
    </row>
    <row r="8" spans="3:4" x14ac:dyDescent="0.25">
      <c r="C8" t="s">
        <v>11</v>
      </c>
      <c r="D8" s="4">
        <f>TraHeSo(D4,D5,D6)</f>
        <v>0.90988435169129733</v>
      </c>
    </row>
    <row r="9" spans="3:4" x14ac:dyDescent="0.25">
      <c r="C9" t="s">
        <v>12</v>
      </c>
      <c r="D9" s="4">
        <f>D8*1.4</f>
        <v>1.2738380923678161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VN-DF NHUỘM ĐAI 024</dc:creator>
  <cp:lastModifiedBy>VN-DF NHUỘM ĐAI 024</cp:lastModifiedBy>
  <dcterms:created xsi:type="dcterms:W3CDTF">2026-06-25T03:55:09Z</dcterms:created>
  <dcterms:modified xsi:type="dcterms:W3CDTF">2026-06-26T09:04:57Z</dcterms:modified>
</cp:coreProperties>
</file>
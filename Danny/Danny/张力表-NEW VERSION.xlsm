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9393DFC5-A063-4E27-8774-35921241E28B}" xr6:coauthVersionLast="47" xr6:coauthVersionMax="47" xr10:uidLastSave="{00000000-0000-0000-0000-000000000000}"/>
  <bookViews>
    <workbookView xWindow="-120" yWindow="-120" windowWidth="29040" windowHeight="15720" activeTab="1" xr2:uid="{46B652EC-39A7-49F0-B5C1-8F4D9FFB21F0}"/>
  </bookViews>
  <sheets>
    <sheet name="Sheet1" sheetId="1" r:id="rId1"/>
    <sheet name="Sheet2" sheetId="2" r:id="rId2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" i="1" l="1"/>
  <c r="E4" i="1" s="1"/>
  <c r="E12" i="1" s="1"/>
  <c r="E20" i="1" s="1"/>
  <c r="D12" i="1"/>
  <c r="D20" i="1" s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C31" i="1"/>
  <c r="AF6" i="1" s="1"/>
  <c r="C32" i="1"/>
  <c r="AF7" i="1" s="1"/>
  <c r="C33" i="1"/>
  <c r="AF24" i="1" s="1"/>
  <c r="C34" i="1"/>
  <c r="AF9" i="1" s="1"/>
  <c r="C35" i="1"/>
  <c r="AF18" i="1" s="1"/>
  <c r="C36" i="1"/>
  <c r="AF19" i="1" s="1"/>
  <c r="C30" i="1"/>
  <c r="AF13" i="1" s="1"/>
  <c r="D11" i="2"/>
  <c r="H11" i="2"/>
  <c r="I11" i="2"/>
  <c r="J11" i="2"/>
  <c r="E11" i="2"/>
  <c r="F11" i="2"/>
  <c r="G11" i="2"/>
  <c r="C11" i="2"/>
  <c r="G12" i="2" l="1"/>
  <c r="F12" i="2"/>
  <c r="E12" i="2"/>
  <c r="J12" i="2"/>
  <c r="I12" i="2"/>
  <c r="H12" i="2"/>
  <c r="D12" i="2"/>
  <c r="AF8" i="1"/>
  <c r="AF17" i="1"/>
  <c r="AF16" i="1"/>
  <c r="AF21" i="1"/>
  <c r="D21" i="1" s="1"/>
  <c r="AF27" i="1"/>
  <c r="AF26" i="1"/>
  <c r="AF25" i="1"/>
  <c r="AF23" i="1"/>
  <c r="AF22" i="1"/>
  <c r="AF10" i="1"/>
  <c r="AF5" i="1"/>
  <c r="D5" i="1" s="1"/>
  <c r="D6" i="1" s="1"/>
  <c r="D7" i="1" s="1"/>
  <c r="AF15" i="1"/>
  <c r="AF11" i="1"/>
  <c r="AF14" i="1"/>
  <c r="D13" i="1"/>
  <c r="F4" i="1"/>
  <c r="F12" i="1" s="1"/>
  <c r="F20" i="1" s="1"/>
  <c r="C12" i="2"/>
  <c r="D8" i="1" l="1"/>
  <c r="D9" i="1" s="1"/>
  <c r="D10" i="1" s="1"/>
  <c r="D11" i="1" s="1"/>
  <c r="D14" i="1"/>
  <c r="D15" i="1" s="1"/>
  <c r="D16" i="1" s="1"/>
  <c r="D17" i="1" s="1"/>
  <c r="D18" i="1" s="1"/>
  <c r="D19" i="1" s="1"/>
  <c r="D22" i="1"/>
  <c r="D23" i="1" s="1"/>
  <c r="D24" i="1" s="1"/>
  <c r="D25" i="1" s="1"/>
  <c r="D26" i="1" s="1"/>
  <c r="D27" i="1" s="1"/>
  <c r="E5" i="1"/>
  <c r="E6" i="1" s="1"/>
  <c r="E7" i="1" s="1"/>
  <c r="E8" i="1" s="1"/>
  <c r="E9" i="1" s="1"/>
  <c r="E10" i="1" s="1"/>
  <c r="E11" i="1" s="1"/>
  <c r="E21" i="1"/>
  <c r="E22" i="1" s="1"/>
  <c r="E23" i="1" s="1"/>
  <c r="E24" i="1" s="1"/>
  <c r="E25" i="1" s="1"/>
  <c r="E26" i="1" s="1"/>
  <c r="E27" i="1" s="1"/>
  <c r="E13" i="1"/>
  <c r="E14" i="1" s="1"/>
  <c r="E15" i="1" s="1"/>
  <c r="E16" i="1" s="1"/>
  <c r="E17" i="1" s="1"/>
  <c r="E18" i="1" s="1"/>
  <c r="E19" i="1" s="1"/>
  <c r="G4" i="1"/>
  <c r="G12" i="1" s="1"/>
  <c r="G20" i="1" s="1"/>
  <c r="F5" i="1"/>
  <c r="F6" i="1" s="1"/>
  <c r="F7" i="1" s="1"/>
  <c r="F8" i="1" s="1"/>
  <c r="F9" i="1" s="1"/>
  <c r="F10" i="1" s="1"/>
  <c r="F11" i="1" s="1"/>
  <c r="F21" i="1" l="1"/>
  <c r="F22" i="1" s="1"/>
  <c r="F23" i="1" s="1"/>
  <c r="F24" i="1" s="1"/>
  <c r="F25" i="1" s="1"/>
  <c r="F26" i="1" s="1"/>
  <c r="F27" i="1" s="1"/>
  <c r="F13" i="1"/>
  <c r="F14" i="1" s="1"/>
  <c r="F15" i="1" s="1"/>
  <c r="F16" i="1" s="1"/>
  <c r="F17" i="1" s="1"/>
  <c r="F18" i="1" s="1"/>
  <c r="F19" i="1" s="1"/>
  <c r="H4" i="1"/>
  <c r="H12" i="1" s="1"/>
  <c r="H20" i="1" s="1"/>
  <c r="G5" i="1"/>
  <c r="G6" i="1" s="1"/>
  <c r="G7" i="1" s="1"/>
  <c r="G8" i="1" s="1"/>
  <c r="G9" i="1" s="1"/>
  <c r="G10" i="1" s="1"/>
  <c r="G11" i="1" s="1"/>
  <c r="G13" i="1" l="1"/>
  <c r="G14" i="1" s="1"/>
  <c r="G15" i="1" s="1"/>
  <c r="G16" i="1" s="1"/>
  <c r="G17" i="1" s="1"/>
  <c r="G18" i="1" s="1"/>
  <c r="G19" i="1" s="1"/>
  <c r="G21" i="1"/>
  <c r="G22" i="1" s="1"/>
  <c r="G23" i="1" s="1"/>
  <c r="G24" i="1" s="1"/>
  <c r="G25" i="1" s="1"/>
  <c r="G26" i="1" s="1"/>
  <c r="G27" i="1" s="1"/>
  <c r="I4" i="1"/>
  <c r="I12" i="1" s="1"/>
  <c r="I20" i="1" s="1"/>
  <c r="H5" i="1"/>
  <c r="H6" i="1" s="1"/>
  <c r="H7" i="1" s="1"/>
  <c r="H8" i="1" s="1"/>
  <c r="H9" i="1" s="1"/>
  <c r="H10" i="1" s="1"/>
  <c r="H11" i="1" s="1"/>
  <c r="H13" i="1" l="1"/>
  <c r="H14" i="1" s="1"/>
  <c r="H15" i="1" s="1"/>
  <c r="H16" i="1" s="1"/>
  <c r="H17" i="1" s="1"/>
  <c r="H18" i="1" s="1"/>
  <c r="H19" i="1" s="1"/>
  <c r="H21" i="1"/>
  <c r="H22" i="1" s="1"/>
  <c r="H23" i="1" s="1"/>
  <c r="H24" i="1" s="1"/>
  <c r="H25" i="1" s="1"/>
  <c r="H26" i="1" s="1"/>
  <c r="H27" i="1" s="1"/>
  <c r="I5" i="1"/>
  <c r="I6" i="1" s="1"/>
  <c r="I7" i="1" s="1"/>
  <c r="I8" i="1" s="1"/>
  <c r="I9" i="1" s="1"/>
  <c r="I10" i="1" s="1"/>
  <c r="I11" i="1" s="1"/>
  <c r="J4" i="1"/>
  <c r="J12" i="1" s="1"/>
  <c r="J20" i="1" s="1"/>
  <c r="J5" i="1" l="1"/>
  <c r="J6" i="1" s="1"/>
  <c r="J7" i="1" s="1"/>
  <c r="J8" i="1" s="1"/>
  <c r="J9" i="1" s="1"/>
  <c r="J10" i="1" s="1"/>
  <c r="J11" i="1" s="1"/>
  <c r="K4" i="1"/>
  <c r="K12" i="1" s="1"/>
  <c r="K20" i="1" s="1"/>
  <c r="I13" i="1"/>
  <c r="I14" i="1" s="1"/>
  <c r="I15" i="1" s="1"/>
  <c r="I16" i="1" s="1"/>
  <c r="I17" i="1" s="1"/>
  <c r="I18" i="1" s="1"/>
  <c r="I19" i="1" s="1"/>
  <c r="I21" i="1"/>
  <c r="I22" i="1" s="1"/>
  <c r="I23" i="1" s="1"/>
  <c r="I24" i="1" s="1"/>
  <c r="I25" i="1" s="1"/>
  <c r="I26" i="1" s="1"/>
  <c r="I27" i="1" s="1"/>
  <c r="K5" i="1" l="1"/>
  <c r="K6" i="1" s="1"/>
  <c r="K7" i="1" s="1"/>
  <c r="K8" i="1" s="1"/>
  <c r="K9" i="1" s="1"/>
  <c r="K10" i="1" s="1"/>
  <c r="K11" i="1" s="1"/>
  <c r="L4" i="1"/>
  <c r="L12" i="1" s="1"/>
  <c r="L20" i="1" s="1"/>
  <c r="J13" i="1"/>
  <c r="J14" i="1" s="1"/>
  <c r="J15" i="1" s="1"/>
  <c r="J16" i="1" s="1"/>
  <c r="J17" i="1" s="1"/>
  <c r="J18" i="1" s="1"/>
  <c r="J19" i="1" s="1"/>
  <c r="J21" i="1"/>
  <c r="J22" i="1" s="1"/>
  <c r="J23" i="1" s="1"/>
  <c r="J24" i="1" s="1"/>
  <c r="J25" i="1" s="1"/>
  <c r="J26" i="1" s="1"/>
  <c r="J27" i="1" s="1"/>
  <c r="L5" i="1" l="1"/>
  <c r="L6" i="1" s="1"/>
  <c r="L7" i="1" s="1"/>
  <c r="L8" i="1" s="1"/>
  <c r="L9" i="1" s="1"/>
  <c r="L10" i="1" s="1"/>
  <c r="L11" i="1" s="1"/>
  <c r="M4" i="1"/>
  <c r="M12" i="1" s="1"/>
  <c r="M20" i="1" s="1"/>
  <c r="K13" i="1"/>
  <c r="K14" i="1" s="1"/>
  <c r="K15" i="1" s="1"/>
  <c r="K16" i="1" s="1"/>
  <c r="K17" i="1" s="1"/>
  <c r="K18" i="1" s="1"/>
  <c r="K19" i="1" s="1"/>
  <c r="K21" i="1"/>
  <c r="K22" i="1" s="1"/>
  <c r="K23" i="1" s="1"/>
  <c r="K24" i="1" s="1"/>
  <c r="K25" i="1" s="1"/>
  <c r="K26" i="1" s="1"/>
  <c r="K27" i="1" s="1"/>
  <c r="L13" i="1" l="1"/>
  <c r="L14" i="1" s="1"/>
  <c r="L15" i="1" s="1"/>
  <c r="L16" i="1" s="1"/>
  <c r="L17" i="1" s="1"/>
  <c r="L18" i="1" s="1"/>
  <c r="L19" i="1" s="1"/>
  <c r="L21" i="1"/>
  <c r="L22" i="1" s="1"/>
  <c r="L23" i="1" s="1"/>
  <c r="L24" i="1" s="1"/>
  <c r="L25" i="1" s="1"/>
  <c r="L26" i="1" s="1"/>
  <c r="L27" i="1" s="1"/>
  <c r="M5" i="1"/>
  <c r="M6" i="1" s="1"/>
  <c r="M7" i="1" s="1"/>
  <c r="M8" i="1" s="1"/>
  <c r="M9" i="1" s="1"/>
  <c r="M10" i="1" s="1"/>
  <c r="M11" i="1" s="1"/>
  <c r="N4" i="1"/>
  <c r="N12" i="1" s="1"/>
  <c r="N20" i="1" s="1"/>
  <c r="N5" i="1" l="1"/>
  <c r="N6" i="1" s="1"/>
  <c r="N7" i="1" s="1"/>
  <c r="N8" i="1" s="1"/>
  <c r="N9" i="1" s="1"/>
  <c r="N10" i="1" s="1"/>
  <c r="N11" i="1" s="1"/>
  <c r="O4" i="1"/>
  <c r="O12" i="1" s="1"/>
  <c r="O20" i="1" s="1"/>
  <c r="M21" i="1"/>
  <c r="M22" i="1" s="1"/>
  <c r="M23" i="1" s="1"/>
  <c r="M24" i="1" s="1"/>
  <c r="M25" i="1" s="1"/>
  <c r="M26" i="1" s="1"/>
  <c r="M27" i="1" s="1"/>
  <c r="M13" i="1"/>
  <c r="M14" i="1" s="1"/>
  <c r="M15" i="1" s="1"/>
  <c r="M16" i="1" s="1"/>
  <c r="M17" i="1" s="1"/>
  <c r="M18" i="1" s="1"/>
  <c r="M19" i="1" s="1"/>
  <c r="O5" i="1" l="1"/>
  <c r="O6" i="1" s="1"/>
  <c r="O7" i="1" s="1"/>
  <c r="O8" i="1" s="1"/>
  <c r="O9" i="1" s="1"/>
  <c r="O10" i="1" s="1"/>
  <c r="O11" i="1" s="1"/>
  <c r="P4" i="1"/>
  <c r="P12" i="1" s="1"/>
  <c r="P20" i="1" s="1"/>
  <c r="N13" i="1"/>
  <c r="N14" i="1" s="1"/>
  <c r="N15" i="1" s="1"/>
  <c r="N16" i="1" s="1"/>
  <c r="N17" i="1" s="1"/>
  <c r="N18" i="1" s="1"/>
  <c r="N19" i="1" s="1"/>
  <c r="N21" i="1"/>
  <c r="N22" i="1" s="1"/>
  <c r="N23" i="1" s="1"/>
  <c r="N24" i="1" s="1"/>
  <c r="N25" i="1" s="1"/>
  <c r="N26" i="1" s="1"/>
  <c r="N27" i="1" s="1"/>
  <c r="P5" i="1" l="1"/>
  <c r="P6" i="1" s="1"/>
  <c r="P7" i="1" s="1"/>
  <c r="P8" i="1" s="1"/>
  <c r="P9" i="1" s="1"/>
  <c r="P10" i="1" s="1"/>
  <c r="P11" i="1" s="1"/>
  <c r="Q4" i="1"/>
  <c r="Q12" i="1" s="1"/>
  <c r="Q20" i="1" s="1"/>
  <c r="O13" i="1"/>
  <c r="O14" i="1" s="1"/>
  <c r="O15" i="1" s="1"/>
  <c r="O16" i="1" s="1"/>
  <c r="O17" i="1" s="1"/>
  <c r="O18" i="1" s="1"/>
  <c r="O19" i="1" s="1"/>
  <c r="O21" i="1"/>
  <c r="O22" i="1" s="1"/>
  <c r="O23" i="1" s="1"/>
  <c r="O24" i="1" s="1"/>
  <c r="O25" i="1" s="1"/>
  <c r="O26" i="1" s="1"/>
  <c r="O27" i="1" s="1"/>
  <c r="Q5" i="1" l="1"/>
  <c r="Q6" i="1" s="1"/>
  <c r="Q7" i="1" s="1"/>
  <c r="Q8" i="1" s="1"/>
  <c r="Q9" i="1" s="1"/>
  <c r="Q10" i="1" s="1"/>
  <c r="Q11" i="1" s="1"/>
  <c r="R4" i="1"/>
  <c r="R12" i="1" s="1"/>
  <c r="R20" i="1" s="1"/>
  <c r="P21" i="1"/>
  <c r="P22" i="1" s="1"/>
  <c r="P23" i="1" s="1"/>
  <c r="P24" i="1" s="1"/>
  <c r="P25" i="1" s="1"/>
  <c r="P26" i="1" s="1"/>
  <c r="P27" i="1" s="1"/>
  <c r="P13" i="1"/>
  <c r="P14" i="1" s="1"/>
  <c r="P15" i="1" s="1"/>
  <c r="P16" i="1" s="1"/>
  <c r="P17" i="1" s="1"/>
  <c r="P18" i="1" s="1"/>
  <c r="P19" i="1" s="1"/>
  <c r="Q21" i="1" l="1"/>
  <c r="Q22" i="1" s="1"/>
  <c r="Q23" i="1" s="1"/>
  <c r="Q24" i="1" s="1"/>
  <c r="Q25" i="1" s="1"/>
  <c r="Q26" i="1" s="1"/>
  <c r="Q27" i="1" s="1"/>
  <c r="Q13" i="1"/>
  <c r="Q14" i="1" s="1"/>
  <c r="Q15" i="1" s="1"/>
  <c r="Q16" i="1" s="1"/>
  <c r="Q17" i="1" s="1"/>
  <c r="Q18" i="1" s="1"/>
  <c r="Q19" i="1" s="1"/>
  <c r="R5" i="1"/>
  <c r="R6" i="1" s="1"/>
  <c r="R7" i="1" s="1"/>
  <c r="R8" i="1" s="1"/>
  <c r="R9" i="1" s="1"/>
  <c r="R10" i="1" s="1"/>
  <c r="R11" i="1" s="1"/>
  <c r="S4" i="1"/>
  <c r="S12" i="1" s="1"/>
  <c r="S20" i="1" s="1"/>
  <c r="R13" i="1" l="1"/>
  <c r="R14" i="1" s="1"/>
  <c r="R15" i="1" s="1"/>
  <c r="R16" i="1" s="1"/>
  <c r="R17" i="1" s="1"/>
  <c r="R18" i="1" s="1"/>
  <c r="R19" i="1" s="1"/>
  <c r="R21" i="1"/>
  <c r="R22" i="1" s="1"/>
  <c r="R23" i="1" s="1"/>
  <c r="R24" i="1" s="1"/>
  <c r="R25" i="1" s="1"/>
  <c r="R26" i="1" s="1"/>
  <c r="R27" i="1" s="1"/>
  <c r="S5" i="1"/>
  <c r="S6" i="1" s="1"/>
  <c r="S7" i="1" s="1"/>
  <c r="S8" i="1" s="1"/>
  <c r="S9" i="1" s="1"/>
  <c r="S10" i="1" s="1"/>
  <c r="S11" i="1" s="1"/>
  <c r="T4" i="1"/>
  <c r="T12" i="1" s="1"/>
  <c r="T20" i="1" s="1"/>
  <c r="S13" i="1" l="1"/>
  <c r="S14" i="1" s="1"/>
  <c r="S15" i="1" s="1"/>
  <c r="S16" i="1" s="1"/>
  <c r="S17" i="1" s="1"/>
  <c r="S18" i="1" s="1"/>
  <c r="S19" i="1" s="1"/>
  <c r="S21" i="1"/>
  <c r="S22" i="1" s="1"/>
  <c r="S23" i="1" s="1"/>
  <c r="S24" i="1" s="1"/>
  <c r="S25" i="1" s="1"/>
  <c r="S26" i="1" s="1"/>
  <c r="S27" i="1" s="1"/>
  <c r="T5" i="1"/>
  <c r="T6" i="1" s="1"/>
  <c r="T7" i="1" s="1"/>
  <c r="T8" i="1" s="1"/>
  <c r="T9" i="1" s="1"/>
  <c r="T10" i="1" s="1"/>
  <c r="T11" i="1" s="1"/>
  <c r="U4" i="1"/>
  <c r="U12" i="1" s="1"/>
  <c r="U20" i="1" s="1"/>
  <c r="U5" i="1" l="1"/>
  <c r="U6" i="1" s="1"/>
  <c r="U7" i="1" s="1"/>
  <c r="U8" i="1" s="1"/>
  <c r="U9" i="1" s="1"/>
  <c r="U10" i="1" s="1"/>
  <c r="U11" i="1" s="1"/>
  <c r="V4" i="1"/>
  <c r="V12" i="1" s="1"/>
  <c r="V20" i="1" s="1"/>
  <c r="T13" i="1"/>
  <c r="T14" i="1" s="1"/>
  <c r="T15" i="1" s="1"/>
  <c r="T16" i="1" s="1"/>
  <c r="T17" i="1" s="1"/>
  <c r="T18" i="1" s="1"/>
  <c r="T19" i="1" s="1"/>
  <c r="T21" i="1"/>
  <c r="T22" i="1" s="1"/>
  <c r="T23" i="1" s="1"/>
  <c r="T24" i="1" s="1"/>
  <c r="T25" i="1" s="1"/>
  <c r="T26" i="1" s="1"/>
  <c r="T27" i="1" s="1"/>
  <c r="V5" i="1" l="1"/>
  <c r="V6" i="1" s="1"/>
  <c r="V7" i="1" s="1"/>
  <c r="V8" i="1" s="1"/>
  <c r="V9" i="1" s="1"/>
  <c r="V10" i="1" s="1"/>
  <c r="V11" i="1" s="1"/>
  <c r="W4" i="1"/>
  <c r="W12" i="1" s="1"/>
  <c r="W20" i="1" s="1"/>
  <c r="U13" i="1"/>
  <c r="U14" i="1" s="1"/>
  <c r="U15" i="1" s="1"/>
  <c r="U16" i="1" s="1"/>
  <c r="U17" i="1" s="1"/>
  <c r="U18" i="1" s="1"/>
  <c r="U19" i="1" s="1"/>
  <c r="U21" i="1"/>
  <c r="U22" i="1" s="1"/>
  <c r="U23" i="1" s="1"/>
  <c r="U24" i="1" s="1"/>
  <c r="U25" i="1" s="1"/>
  <c r="U26" i="1" s="1"/>
  <c r="U27" i="1" s="1"/>
  <c r="W5" i="1" l="1"/>
  <c r="W6" i="1" s="1"/>
  <c r="W7" i="1" s="1"/>
  <c r="W8" i="1" s="1"/>
  <c r="W9" i="1" s="1"/>
  <c r="W10" i="1" s="1"/>
  <c r="W11" i="1" s="1"/>
  <c r="X4" i="1"/>
  <c r="X12" i="1" s="1"/>
  <c r="X20" i="1" s="1"/>
  <c r="V13" i="1"/>
  <c r="V14" i="1" s="1"/>
  <c r="V15" i="1" s="1"/>
  <c r="V16" i="1" s="1"/>
  <c r="V17" i="1" s="1"/>
  <c r="V18" i="1" s="1"/>
  <c r="V19" i="1" s="1"/>
  <c r="V21" i="1"/>
  <c r="V22" i="1" s="1"/>
  <c r="V23" i="1" s="1"/>
  <c r="V24" i="1" s="1"/>
  <c r="V25" i="1" s="1"/>
  <c r="V26" i="1" s="1"/>
  <c r="V27" i="1" s="1"/>
  <c r="X5" i="1" l="1"/>
  <c r="X6" i="1" s="1"/>
  <c r="X7" i="1" s="1"/>
  <c r="X8" i="1" s="1"/>
  <c r="X9" i="1" s="1"/>
  <c r="X10" i="1" s="1"/>
  <c r="X11" i="1" s="1"/>
  <c r="Y4" i="1"/>
  <c r="Y12" i="1" s="1"/>
  <c r="Y20" i="1" s="1"/>
  <c r="W21" i="1"/>
  <c r="W22" i="1" s="1"/>
  <c r="W23" i="1" s="1"/>
  <c r="W24" i="1" s="1"/>
  <c r="W25" i="1" s="1"/>
  <c r="W26" i="1" s="1"/>
  <c r="W27" i="1" s="1"/>
  <c r="W13" i="1"/>
  <c r="W14" i="1" s="1"/>
  <c r="W15" i="1" s="1"/>
  <c r="W16" i="1" s="1"/>
  <c r="W17" i="1" s="1"/>
  <c r="W18" i="1" s="1"/>
  <c r="W19" i="1" s="1"/>
  <c r="X21" i="1" l="1"/>
  <c r="X22" i="1" s="1"/>
  <c r="X23" i="1" s="1"/>
  <c r="X24" i="1" s="1"/>
  <c r="X25" i="1" s="1"/>
  <c r="X26" i="1" s="1"/>
  <c r="X27" i="1" s="1"/>
  <c r="X13" i="1"/>
  <c r="X14" i="1" s="1"/>
  <c r="X15" i="1" s="1"/>
  <c r="X16" i="1" s="1"/>
  <c r="X17" i="1" s="1"/>
  <c r="X18" i="1" s="1"/>
  <c r="X19" i="1" s="1"/>
  <c r="Y5" i="1"/>
  <c r="Y6" i="1" s="1"/>
  <c r="Y7" i="1" s="1"/>
  <c r="Y8" i="1" s="1"/>
  <c r="Y9" i="1" s="1"/>
  <c r="Y10" i="1" s="1"/>
  <c r="Y11" i="1" s="1"/>
  <c r="Z4" i="1"/>
  <c r="Z12" i="1" s="1"/>
  <c r="Z20" i="1" s="1"/>
  <c r="Z5" i="1" l="1"/>
  <c r="Z6" i="1" s="1"/>
  <c r="Z7" i="1" s="1"/>
  <c r="Z8" i="1" s="1"/>
  <c r="Z9" i="1" s="1"/>
  <c r="Z10" i="1" s="1"/>
  <c r="Z11" i="1" s="1"/>
  <c r="AA4" i="1"/>
  <c r="AA12" i="1" s="1"/>
  <c r="AA20" i="1" s="1"/>
  <c r="Y13" i="1"/>
  <c r="Y14" i="1" s="1"/>
  <c r="Y15" i="1" s="1"/>
  <c r="Y16" i="1" s="1"/>
  <c r="Y17" i="1" s="1"/>
  <c r="Y18" i="1" s="1"/>
  <c r="Y19" i="1" s="1"/>
  <c r="Y21" i="1"/>
  <c r="Y22" i="1" s="1"/>
  <c r="Y23" i="1" s="1"/>
  <c r="Y24" i="1" s="1"/>
  <c r="Y25" i="1" s="1"/>
  <c r="Y26" i="1" s="1"/>
  <c r="Y27" i="1" s="1"/>
  <c r="AA5" i="1" l="1"/>
  <c r="AA6" i="1" s="1"/>
  <c r="AA7" i="1" s="1"/>
  <c r="AA8" i="1" s="1"/>
  <c r="AA9" i="1" s="1"/>
  <c r="AA10" i="1" s="1"/>
  <c r="AA11" i="1" s="1"/>
  <c r="AB4" i="1"/>
  <c r="AB12" i="1" s="1"/>
  <c r="AB20" i="1" s="1"/>
  <c r="Z13" i="1"/>
  <c r="Z14" i="1" s="1"/>
  <c r="Z15" i="1" s="1"/>
  <c r="Z16" i="1" s="1"/>
  <c r="Z17" i="1" s="1"/>
  <c r="Z18" i="1" s="1"/>
  <c r="Z19" i="1" s="1"/>
  <c r="Z21" i="1"/>
  <c r="Z22" i="1" s="1"/>
  <c r="Z23" i="1" s="1"/>
  <c r="Z24" i="1" s="1"/>
  <c r="Z25" i="1" s="1"/>
  <c r="Z26" i="1" s="1"/>
  <c r="Z27" i="1" s="1"/>
  <c r="AB5" i="1" l="1"/>
  <c r="AB6" i="1" s="1"/>
  <c r="AB7" i="1" s="1"/>
  <c r="AB8" i="1" s="1"/>
  <c r="AB9" i="1" s="1"/>
  <c r="AB10" i="1" s="1"/>
  <c r="AB11" i="1" s="1"/>
  <c r="AC4" i="1"/>
  <c r="AC12" i="1" s="1"/>
  <c r="AC20" i="1" s="1"/>
  <c r="AA13" i="1"/>
  <c r="AA14" i="1" s="1"/>
  <c r="AA15" i="1" s="1"/>
  <c r="AA16" i="1" s="1"/>
  <c r="AA17" i="1" s="1"/>
  <c r="AA18" i="1" s="1"/>
  <c r="AA19" i="1" s="1"/>
  <c r="AA21" i="1"/>
  <c r="AA22" i="1" s="1"/>
  <c r="AA23" i="1" s="1"/>
  <c r="AA24" i="1" s="1"/>
  <c r="AA25" i="1" s="1"/>
  <c r="AA26" i="1" s="1"/>
  <c r="AA27" i="1" s="1"/>
  <c r="AC5" i="1" l="1"/>
  <c r="AC6" i="1" s="1"/>
  <c r="AC7" i="1" s="1"/>
  <c r="AC8" i="1" s="1"/>
  <c r="AC9" i="1" s="1"/>
  <c r="AC10" i="1" s="1"/>
  <c r="AC11" i="1" s="1"/>
  <c r="AD4" i="1"/>
  <c r="AD12" i="1" s="1"/>
  <c r="AD20" i="1" s="1"/>
  <c r="AB21" i="1"/>
  <c r="AB22" i="1" s="1"/>
  <c r="AB23" i="1" s="1"/>
  <c r="AB24" i="1" s="1"/>
  <c r="AB25" i="1" s="1"/>
  <c r="AB26" i="1" s="1"/>
  <c r="AB27" i="1" s="1"/>
  <c r="AB13" i="1"/>
  <c r="AB14" i="1" s="1"/>
  <c r="AB15" i="1" s="1"/>
  <c r="AB16" i="1" s="1"/>
  <c r="AB17" i="1" s="1"/>
  <c r="AB18" i="1" s="1"/>
  <c r="AB19" i="1" s="1"/>
  <c r="AC21" i="1" l="1"/>
  <c r="AC22" i="1" s="1"/>
  <c r="AC23" i="1" s="1"/>
  <c r="AC24" i="1" s="1"/>
  <c r="AC25" i="1" s="1"/>
  <c r="AC26" i="1" s="1"/>
  <c r="AC27" i="1" s="1"/>
  <c r="AC13" i="1"/>
  <c r="AC14" i="1" s="1"/>
  <c r="AC15" i="1" s="1"/>
  <c r="AC16" i="1" s="1"/>
  <c r="AC17" i="1" s="1"/>
  <c r="AC18" i="1" s="1"/>
  <c r="AC19" i="1" s="1"/>
  <c r="AD5" i="1"/>
  <c r="AD6" i="1" s="1"/>
  <c r="AD7" i="1" s="1"/>
  <c r="AD8" i="1" s="1"/>
  <c r="AD9" i="1" s="1"/>
  <c r="AD10" i="1" s="1"/>
  <c r="AD11" i="1" s="1"/>
  <c r="AE4" i="1"/>
  <c r="AE12" i="1" s="1"/>
  <c r="AE20" i="1" s="1"/>
  <c r="AE5" i="1" l="1"/>
  <c r="AE6" i="1" s="1"/>
  <c r="AE7" i="1" s="1"/>
  <c r="AE8" i="1" s="1"/>
  <c r="AE9" i="1" s="1"/>
  <c r="AE10" i="1" s="1"/>
  <c r="AE11" i="1" s="1"/>
  <c r="AD21" i="1"/>
  <c r="AD22" i="1" s="1"/>
  <c r="AD23" i="1" s="1"/>
  <c r="AD24" i="1" s="1"/>
  <c r="AD25" i="1" s="1"/>
  <c r="AD26" i="1" s="1"/>
  <c r="AD27" i="1" s="1"/>
  <c r="AD13" i="1"/>
  <c r="AD14" i="1" s="1"/>
  <c r="AD15" i="1" s="1"/>
  <c r="AD16" i="1" s="1"/>
  <c r="AD17" i="1" s="1"/>
  <c r="AD18" i="1" s="1"/>
  <c r="AD19" i="1" s="1"/>
  <c r="AE13" i="1" l="1"/>
  <c r="AE14" i="1" s="1"/>
  <c r="AE15" i="1" s="1"/>
  <c r="AE16" i="1" s="1"/>
  <c r="AE17" i="1" s="1"/>
  <c r="AE18" i="1" s="1"/>
  <c r="AE19" i="1" s="1"/>
  <c r="AE21" i="1"/>
  <c r="AE22" i="1" s="1"/>
  <c r="AE23" i="1" s="1"/>
  <c r="AE24" i="1" s="1"/>
  <c r="AE25" i="1" s="1"/>
  <c r="AE26" i="1" s="1"/>
  <c r="AE27" i="1" s="1"/>
</calcChain>
</file>

<file path=xl/sharedStrings.xml><?xml version="1.0" encoding="utf-8"?>
<sst xmlns="http://schemas.openxmlformats.org/spreadsheetml/2006/main" count="49" uniqueCount="41">
  <si>
    <t xml:space="preserve">tham số gia tăng dây đai
参数增加条数 </t>
  </si>
  <si>
    <t>độ rộng 宽度</t>
  </si>
  <si>
    <t xml:space="preserve">phân loại
分类 </t>
  </si>
  <si>
    <t>SF5415</t>
  </si>
  <si>
    <t>L11040</t>
  </si>
  <si>
    <t>T7038</t>
  </si>
  <si>
    <t>色号</t>
  </si>
  <si>
    <t>货号</t>
  </si>
  <si>
    <t>条数</t>
  </si>
  <si>
    <t>宽度 - SPECIFICATIONS</t>
  </si>
  <si>
    <t>DANCER PRESSURE DYE TANK</t>
  </si>
  <si>
    <t>DANCER PRESSURE STEAMER</t>
  </si>
  <si>
    <t>A</t>
  </si>
  <si>
    <t>B</t>
  </si>
  <si>
    <t>C</t>
  </si>
  <si>
    <t>L11471</t>
  </si>
  <si>
    <t>T7020</t>
  </si>
  <si>
    <t>L11813</t>
  </si>
  <si>
    <t>0252</t>
  </si>
  <si>
    <t>LR0252</t>
  </si>
  <si>
    <t>DÀY</t>
  </si>
  <si>
    <t>VỪA</t>
  </si>
  <si>
    <t>MỎNG</t>
  </si>
  <si>
    <t>L33975</t>
  </si>
  <si>
    <t>L29059</t>
  </si>
  <si>
    <t>L21196</t>
  </si>
  <si>
    <t>TS5267</t>
  </si>
  <si>
    <t>系数增加宽度</t>
  </si>
  <si>
    <t>系数增加条数</t>
  </si>
  <si>
    <t>系数种类1</t>
  </si>
  <si>
    <t>系数种类2</t>
  </si>
  <si>
    <t>DD</t>
  </si>
  <si>
    <t>DÂY DẪN</t>
  </si>
  <si>
    <t>SỐ DÂY</t>
  </si>
  <si>
    <t>ÁP DỤNG ĐÚNG CÔNG THỨC NHƯNG KHÔNG THỂ ĐIỀU CHỈNH MÁY: 不能正常运行</t>
  </si>
  <si>
    <t>1.KIỂM TRA MÁY, BÁO SỬA CHỮA NẾU CẦN 检查机台，需要维修报工程部</t>
  </si>
  <si>
    <t>2.THAY DÂY DẪN MỚI 换新过机带</t>
  </si>
  <si>
    <t>BẢNG TRA LỰC CĂNG CHO DÂY DẪN MÁY BỘ PHẬN NHUỘM ĐAI</t>
  </si>
  <si>
    <t>漂染过机带张力表查询</t>
  </si>
  <si>
    <t>ĐỐI TRỌNG SAU THÙNG MÀU</t>
  </si>
  <si>
    <t>ĐỐI TRỌNG SAU THÙNG HẤP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</si>
</sst>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1" xfId="0" applyFill="1" applyBorder="1"/>
    <xf numFmtId="0" fontId="0" fillId="8" borderId="1" xfId="0" quotePrefix="1" applyFill="1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1" xfId="0" applyFont="1" applyBorder="1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wrapText="1"/>
    </xf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9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0</xdr:row>
      <xdr:rowOff>47625</xdr:rowOff>
    </xdr:from>
    <xdr:to>
      <xdr:col>9</xdr:col>
      <xdr:colOff>577811</xdr:colOff>
      <xdr:row>1</xdr:row>
      <xdr:rowOff>229679</xdr:rowOff>
    </xdr:to>
    <xdr:pic>
      <xdr:nvPicPr>
        <xdr:cNvPr id="2" name="Picture 1" descr="越南LOGO">
          <a:extLst>
            <a:ext uri="{FF2B5EF4-FFF2-40B4-BE49-F238E27FC236}">
              <a16:creationId xmlns:a16="http://schemas.microsoft.com/office/drawing/2014/main" id="{53332083-AB0B-41EB-9294-407BC1909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1825" y="47625"/>
          <a:ext cx="1120736" cy="42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2002B-BD37-4E07-AF0D-AF6344E52E6E}">
  <sheetPr codeName="Sheet1"/>
  <dimension ref="A1:AK36"/>
  <sheetViews>
    <sheetView zoomScale="93" zoomScaleNormal="93" workbookViewId="0">
      <pane ySplit="36" topLeftCell="A37" activePane="bottomLeft" state="frozen"/>
      <selection activeCell="B1" sqref="B1"/>
      <selection pane="bottomLeft" activeCell="M35" sqref="M35"/>
    </sheetView>
  </sheetViews>
  <sheetFormatPr defaultRowHeight="18.75" x14ac:dyDescent="0.3"/>
  <cols>
    <col min="3" max="3" width="9.7109375" customWidth="1"/>
    <col min="4" max="31" width="5.5703125" customWidth="1"/>
    <col min="32" max="32" width="23.28515625" style="1" customWidth="1"/>
    <col min="33" max="33" width="27.140625" style="6" customWidth="1"/>
    <col min="34" max="34" width="1" customWidth="1"/>
    <col min="35" max="37" width="10.85546875" style="11" customWidth="1"/>
    <col min="38" max="41" width="4.7109375" customWidth="1"/>
  </cols>
  <sheetData>
    <row r="1" spans="1:37" x14ac:dyDescent="0.3">
      <c r="AI1" s="2" t="s">
        <v>12</v>
      </c>
      <c r="AJ1" s="2" t="s">
        <v>13</v>
      </c>
      <c r="AK1" s="2" t="s">
        <v>14</v>
      </c>
    </row>
    <row r="2" spans="1:37" ht="15" x14ac:dyDescent="0.25">
      <c r="A2" s="1"/>
      <c r="B2" s="1"/>
      <c r="C2" s="19" t="s">
        <v>8</v>
      </c>
      <c r="D2" s="21" t="s">
        <v>1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15" t="s">
        <v>0</v>
      </c>
      <c r="AG2" s="17" t="s">
        <v>27</v>
      </c>
      <c r="AI2" s="11" t="s">
        <v>3</v>
      </c>
      <c r="AJ2" s="11" t="s">
        <v>4</v>
      </c>
      <c r="AK2" s="11" t="s">
        <v>5</v>
      </c>
    </row>
    <row r="3" spans="1:37" ht="15" x14ac:dyDescent="0.25">
      <c r="A3" s="1"/>
      <c r="B3" s="1"/>
      <c r="C3" s="20"/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3">
        <v>28</v>
      </c>
      <c r="AD3" s="3">
        <v>29</v>
      </c>
      <c r="AE3" s="4">
        <v>30</v>
      </c>
      <c r="AF3" s="16"/>
      <c r="AG3" s="18"/>
      <c r="AI3" s="12" t="s">
        <v>18</v>
      </c>
      <c r="AJ3" s="11" t="s">
        <v>23</v>
      </c>
      <c r="AK3" s="11" t="s">
        <v>15</v>
      </c>
    </row>
    <row r="4" spans="1:37" x14ac:dyDescent="0.3">
      <c r="A4" s="13" t="s">
        <v>2</v>
      </c>
      <c r="B4" s="13" t="s">
        <v>12</v>
      </c>
      <c r="C4" s="2">
        <v>1</v>
      </c>
      <c r="D4" s="1">
        <v>0.4</v>
      </c>
      <c r="E4" s="1">
        <f>D4*(1+E29*$AG$4)</f>
        <v>0.45500000000000002</v>
      </c>
      <c r="F4" s="1">
        <f>E4*(1+F29*$AG$4)</f>
        <v>0.50505000000000011</v>
      </c>
      <c r="G4" s="1">
        <f>F4*(1+G29*$AG$4)</f>
        <v>0.55134625000000015</v>
      </c>
      <c r="H4" s="1">
        <f>G4*(1+H29*$AG$4)</f>
        <v>0.59466631250000013</v>
      </c>
      <c r="I4" s="1">
        <f>H4*(1+I29*$AG$4)</f>
        <v>0.63554962148437522</v>
      </c>
      <c r="J4" s="1">
        <f>I4*(1+J29*$AG$4)</f>
        <v>0.67438876501953149</v>
      </c>
      <c r="K4" s="1">
        <f>J4*(1+K29*$AG$4)</f>
        <v>0.7114801470956057</v>
      </c>
      <c r="L4" s="1">
        <f>K4*(1+L29*$AG$4)</f>
        <v>0.74705415445038603</v>
      </c>
      <c r="M4" s="1">
        <f>L4*(1+M29*$AG$4)</f>
        <v>0.78129413652936208</v>
      </c>
      <c r="N4" s="1">
        <f>M4*(1+N29*$AG$4)</f>
        <v>0.81434888845945053</v>
      </c>
      <c r="O4" s="1">
        <f>N4*(1+O29*$AG$4)</f>
        <v>0.8463411662203576</v>
      </c>
      <c r="P4" s="1">
        <f>O4*(1+P29*$AG$4)</f>
        <v>0.87737367564843738</v>
      </c>
      <c r="Q4" s="1">
        <f>P4*(1+Q29*$AG$4)</f>
        <v>0.9075333957488525</v>
      </c>
      <c r="R4" s="1">
        <f>Q4*(1+R29*$AG$4)</f>
        <v>0.93689477031719781</v>
      </c>
      <c r="S4" s="1">
        <f>R4*(1+S29*$AG$4)</f>
        <v>0.9655221105213343</v>
      </c>
      <c r="T4" s="1">
        <f>S4*(1+T29*$AG$4)</f>
        <v>0.9934714347732676</v>
      </c>
      <c r="U4" s="1">
        <f>T4*(1+U29*$AG$4)</f>
        <v>1.0207918992295326</v>
      </c>
      <c r="V4" s="1">
        <f>U4*(1+V29*$AG$4)</f>
        <v>1.0475269251617345</v>
      </c>
      <c r="W4" s="1">
        <f>V4*(1+W29*$AG$4)</f>
        <v>1.0737150982907777</v>
      </c>
      <c r="X4" s="1">
        <f>W4*(1+X29*$AG$4)</f>
        <v>1.0993908941194701</v>
      </c>
      <c r="Y4" s="1">
        <f>X4*(1+Y29*$AG$4)</f>
        <v>1.1245852687763747</v>
      </c>
      <c r="Z4" s="1">
        <f>Y4*(1+Z29*$AG$4)</f>
        <v>1.1493261446894549</v>
      </c>
      <c r="AA4" s="1">
        <f>Z4*(1+AA29*$AG$4)</f>
        <v>1.1736388131348088</v>
      </c>
      <c r="AB4" s="1">
        <f>AA4*(1+AB29*$AG$4)</f>
        <v>1.1975462704394066</v>
      </c>
      <c r="AC4" s="1">
        <f>AB4*(1+AC29*$AG$4)</f>
        <v>1.2210695007516092</v>
      </c>
      <c r="AD4" s="1">
        <f>AC4*(1+AD29*$AG$4)</f>
        <v>1.2442277154210364</v>
      </c>
      <c r="AE4" s="5">
        <f>AD4*(1+AE29*$AG$4)</f>
        <v>1.2670385568704221</v>
      </c>
      <c r="AG4" s="7">
        <v>0.55000000000000004</v>
      </c>
      <c r="AI4" s="11" t="s">
        <v>19</v>
      </c>
      <c r="AJ4" s="11" t="s">
        <v>26</v>
      </c>
      <c r="AK4" s="11" t="s">
        <v>16</v>
      </c>
    </row>
    <row r="5" spans="1:37" x14ac:dyDescent="0.3">
      <c r="A5" s="14"/>
      <c r="B5" s="14"/>
      <c r="C5" s="2">
        <v>2</v>
      </c>
      <c r="D5" s="1">
        <f>D4*$AF5*$AG$5</f>
        <v>0.55200000000000016</v>
      </c>
      <c r="E5" s="1">
        <f>E4*$AF5*$AG$5</f>
        <v>0.62790000000000001</v>
      </c>
      <c r="F5" s="1">
        <f>F4*$AF5*$AG$5</f>
        <v>0.69696900000000017</v>
      </c>
      <c r="G5" s="1">
        <f>G4*$AF5*$AG$5</f>
        <v>0.76085782500000021</v>
      </c>
      <c r="H5" s="1">
        <f>H4*$AF5*$AG$5</f>
        <v>0.82063951125000012</v>
      </c>
      <c r="I5" s="1">
        <f>I4*$AF5*$AG$5</f>
        <v>0.87705847764843781</v>
      </c>
      <c r="J5" s="1">
        <f>J4*$AF5*$AG$5</f>
        <v>0.93065649572695341</v>
      </c>
      <c r="K5" s="1">
        <f>K4*$AF5*$AG$5</f>
        <v>0.98184260299193582</v>
      </c>
      <c r="L5" s="1">
        <f>L4*$AF5*$AG$5</f>
        <v>1.0309347331415326</v>
      </c>
      <c r="M5" s="1">
        <f>M4*$AF5*$AG$5</f>
        <v>1.0781859084105199</v>
      </c>
      <c r="N5" s="1">
        <f>N4*$AF5*$AG$5</f>
        <v>1.1238014660740416</v>
      </c>
      <c r="O5" s="1">
        <f>O4*$AF5*$AG$5</f>
        <v>1.1679508093840936</v>
      </c>
      <c r="P5" s="1">
        <f>P4*$AF5*$AG$5</f>
        <v>1.2107756723948437</v>
      </c>
      <c r="Q5" s="1">
        <f>Q4*$AF5*$AG$5</f>
        <v>1.2523960861334167</v>
      </c>
      <c r="R5" s="1">
        <f>R4*$AF5*$AG$5</f>
        <v>1.292914783037733</v>
      </c>
      <c r="S5" s="1">
        <f>S4*$AF5*$AG$5</f>
        <v>1.3324205125194415</v>
      </c>
      <c r="T5" s="1">
        <f>T4*$AF5*$AG$5</f>
        <v>1.3709905799871094</v>
      </c>
      <c r="U5" s="1">
        <f>U4*$AF5*$AG$5</f>
        <v>1.4086928209367551</v>
      </c>
      <c r="V5" s="1">
        <f>V4*$AF5*$AG$5</f>
        <v>1.4455871567231937</v>
      </c>
      <c r="W5" s="1">
        <f>W4*$AF5*$AG$5</f>
        <v>1.4817268356412734</v>
      </c>
      <c r="X5" s="1">
        <f>X4*$AF5*$AG$5</f>
        <v>1.5171594338848688</v>
      </c>
      <c r="Y5" s="1">
        <f>Y4*$AF5*$AG$5</f>
        <v>1.5519276709113972</v>
      </c>
      <c r="Z5" s="1">
        <f>Z4*$AF5*$AG$5</f>
        <v>1.586070079671448</v>
      </c>
      <c r="AA5" s="1">
        <f>AA4*$AF5*$AG$5</f>
        <v>1.6196215621260361</v>
      </c>
      <c r="AB5" s="1">
        <f>AB4*$AF5*$AG$5</f>
        <v>1.6526138532063812</v>
      </c>
      <c r="AC5" s="1">
        <f>AC4*$AF5*$AG$5</f>
        <v>1.6850759110372209</v>
      </c>
      <c r="AD5" s="1">
        <f>AD4*$AF5*$AG$5</f>
        <v>1.7170342472810303</v>
      </c>
      <c r="AE5" s="5">
        <f>AE4*$AF5*$AG$5</f>
        <v>1.7485132084811825</v>
      </c>
      <c r="AF5" s="1">
        <f>1+C30</f>
        <v>1.5</v>
      </c>
      <c r="AG5" s="8">
        <v>0.92</v>
      </c>
      <c r="AI5" s="11" t="s">
        <v>24</v>
      </c>
      <c r="AK5" s="11" t="s">
        <v>17</v>
      </c>
    </row>
    <row r="6" spans="1:37" x14ac:dyDescent="0.3">
      <c r="A6" s="14"/>
      <c r="B6" s="14"/>
      <c r="C6" s="2">
        <v>3</v>
      </c>
      <c r="D6" s="1">
        <f>D5*$AF6*$AG$5</f>
        <v>0.67712000000000028</v>
      </c>
      <c r="E6" s="1">
        <f>E5*$AF6*$AG$5</f>
        <v>0.77022400000000002</v>
      </c>
      <c r="F6" s="1">
        <f>F5*$AF6*$AG$5</f>
        <v>0.85494864000000026</v>
      </c>
      <c r="G6" s="1">
        <f>G5*$AF6*$AG$5</f>
        <v>0.93331893200000016</v>
      </c>
      <c r="H6" s="1">
        <f>H5*$AF6*$AG$5</f>
        <v>1.0066511338000002</v>
      </c>
      <c r="I6" s="1">
        <f>I5*$AF6*$AG$5</f>
        <v>1.0758583992487503</v>
      </c>
      <c r="J6" s="1">
        <f>J5*$AF6*$AG$5</f>
        <v>1.1416053014250629</v>
      </c>
      <c r="K6" s="1">
        <f>K5*$AF6*$AG$5</f>
        <v>1.2043935930034413</v>
      </c>
      <c r="L6" s="1">
        <f>L5*$AF6*$AG$5</f>
        <v>1.2646132726536135</v>
      </c>
      <c r="M6" s="1">
        <f>M5*$AF6*$AG$5</f>
        <v>1.3225747143169044</v>
      </c>
      <c r="N6" s="1">
        <f>N5*$AF6*$AG$5</f>
        <v>1.3785297983841578</v>
      </c>
      <c r="O6" s="1">
        <f>O5*$AF6*$AG$5</f>
        <v>1.4326863261778215</v>
      </c>
      <c r="P6" s="1">
        <f>P5*$AF6*$AG$5</f>
        <v>1.4852181581376749</v>
      </c>
      <c r="Q6" s="1">
        <f>Q5*$AF6*$AG$5</f>
        <v>1.5362725323236579</v>
      </c>
      <c r="R6" s="1">
        <f>R5*$AF6*$AG$5</f>
        <v>1.5859754671929525</v>
      </c>
      <c r="S6" s="1">
        <f>S5*$AF6*$AG$5</f>
        <v>1.634435828690515</v>
      </c>
      <c r="T6" s="1">
        <f>T5*$AF6*$AG$5</f>
        <v>1.6817484447841875</v>
      </c>
      <c r="U6" s="1">
        <f>U5*$AF6*$AG$5</f>
        <v>1.7279965270157529</v>
      </c>
      <c r="V6" s="1">
        <f>V5*$AF6*$AG$5</f>
        <v>1.7732535789137842</v>
      </c>
      <c r="W6" s="1">
        <f>W5*$AF6*$AG$5</f>
        <v>1.8175849183866286</v>
      </c>
      <c r="X6" s="1">
        <f>X5*$AF6*$AG$5</f>
        <v>1.8610489055654391</v>
      </c>
      <c r="Y6" s="1">
        <f>Y5*$AF6*$AG$5</f>
        <v>1.9036979429846472</v>
      </c>
      <c r="Z6" s="1">
        <f>Z5*$AF6*$AG$5</f>
        <v>1.9455792977303092</v>
      </c>
      <c r="AA6" s="1">
        <f>AA5*$AF6*$AG$5</f>
        <v>1.9867357828746044</v>
      </c>
      <c r="AB6" s="1">
        <f>AB5*$AF6*$AG$5</f>
        <v>2.0272063265998277</v>
      </c>
      <c r="AC6" s="1">
        <f>AC5*$AF6*$AG$5</f>
        <v>2.0670264508723242</v>
      </c>
      <c r="AD6" s="1">
        <f>AD5*$AF6*$AG$5</f>
        <v>2.1062286766647302</v>
      </c>
      <c r="AE6" s="5">
        <f>AE5*$AF6*$AG$5</f>
        <v>2.1448428690702506</v>
      </c>
      <c r="AF6" s="1">
        <f>1+C31</f>
        <v>1.3333333333333333</v>
      </c>
      <c r="AG6" s="8" t="s">
        <v>28</v>
      </c>
      <c r="AI6" s="11" t="s">
        <v>25</v>
      </c>
      <c r="AJ6" s="11" t="s">
        <v>31</v>
      </c>
    </row>
    <row r="7" spans="1:37" x14ac:dyDescent="0.3">
      <c r="A7" s="14"/>
      <c r="B7" s="14"/>
      <c r="C7" s="2">
        <v>4</v>
      </c>
      <c r="D7" s="1">
        <f>D6*$AF7*$AG$5</f>
        <v>0.77868800000000038</v>
      </c>
      <c r="E7" s="1">
        <f>E6*$AF7*$AG$5</f>
        <v>0.88575760000000003</v>
      </c>
      <c r="F7" s="1">
        <f>F6*$AF7*$AG$5</f>
        <v>0.9831909360000004</v>
      </c>
      <c r="G7" s="1">
        <f>G6*$AF7*$AG$5</f>
        <v>1.0733167718000003</v>
      </c>
      <c r="H7" s="1">
        <f>H6*$AF7*$AG$5</f>
        <v>1.1576488038700001</v>
      </c>
      <c r="I7" s="1">
        <f>I6*$AF7*$AG$5</f>
        <v>1.2372371591360627</v>
      </c>
      <c r="J7" s="1">
        <f>J6*$AF7*$AG$5</f>
        <v>1.3128460966388225</v>
      </c>
      <c r="K7" s="1">
        <f>K6*$AF7*$AG$5</f>
        <v>1.3850526319539576</v>
      </c>
      <c r="L7" s="1">
        <f>L6*$AF7*$AG$5</f>
        <v>1.4543052635516556</v>
      </c>
      <c r="M7" s="1">
        <f>M6*$AF7*$AG$5</f>
        <v>1.5209609214644402</v>
      </c>
      <c r="N7" s="1">
        <f>N6*$AF7*$AG$5</f>
        <v>1.5853092681417815</v>
      </c>
      <c r="O7" s="1">
        <f>O6*$AF7*$AG$5</f>
        <v>1.6475892751044947</v>
      </c>
      <c r="P7" s="1">
        <f>P6*$AF7*$AG$5</f>
        <v>1.7080008818583263</v>
      </c>
      <c r="Q7" s="1">
        <f>Q6*$AF7*$AG$5</f>
        <v>1.7667134121722066</v>
      </c>
      <c r="R7" s="1">
        <f>R6*$AF7*$AG$5</f>
        <v>1.8238717872718953</v>
      </c>
      <c r="S7" s="1">
        <f>S6*$AF7*$AG$5</f>
        <v>1.8796012029940921</v>
      </c>
      <c r="T7" s="1">
        <f>T6*$AF7*$AG$5</f>
        <v>1.9340107115018157</v>
      </c>
      <c r="U7" s="1">
        <f>U6*$AF7*$AG$5</f>
        <v>1.987196006068116</v>
      </c>
      <c r="V7" s="1">
        <f>V6*$AF7*$AG$5</f>
        <v>2.0392416157508517</v>
      </c>
      <c r="W7" s="1">
        <f>W6*$AF7*$AG$5</f>
        <v>2.0902226561446229</v>
      </c>
      <c r="X7" s="1">
        <f>X6*$AF7*$AG$5</f>
        <v>2.1402062414002549</v>
      </c>
      <c r="Y7" s="1">
        <f>Y6*$AF7*$AG$5</f>
        <v>2.1892526344323442</v>
      </c>
      <c r="Z7" s="1">
        <f>Z6*$AF7*$AG$5</f>
        <v>2.2374161923898557</v>
      </c>
      <c r="AA7" s="1">
        <f>AA6*$AF7*$AG$5</f>
        <v>2.2847461503057951</v>
      </c>
      <c r="AB7" s="1">
        <f>AB6*$AF7*$AG$5</f>
        <v>2.3312872755898018</v>
      </c>
      <c r="AC7" s="1">
        <f>AC6*$AF7*$AG$5</f>
        <v>2.3770804185031729</v>
      </c>
      <c r="AD7" s="1">
        <f>AD6*$AF7*$AG$5</f>
        <v>2.4221629781644403</v>
      </c>
      <c r="AE7" s="5">
        <f>AE6*$AF7*$AG$5</f>
        <v>2.4665692994307884</v>
      </c>
      <c r="AF7" s="1">
        <f>1+C32</f>
        <v>1.25</v>
      </c>
      <c r="AG7" s="9" t="s">
        <v>29</v>
      </c>
    </row>
    <row r="8" spans="1:37" x14ac:dyDescent="0.3">
      <c r="A8" s="14"/>
      <c r="B8" s="14"/>
      <c r="C8" s="2">
        <v>5</v>
      </c>
      <c r="D8" s="1">
        <f>D7*$AF8*$AG$5</f>
        <v>0.85967155200000045</v>
      </c>
      <c r="E8" s="1">
        <f>E7*$AF8*$AG$5</f>
        <v>0.97787639040000007</v>
      </c>
      <c r="F8" s="1">
        <f>F7*$AF8*$AG$5</f>
        <v>1.0854427933440005</v>
      </c>
      <c r="G8" s="1">
        <f>G7*$AF8*$AG$5</f>
        <v>1.1849417160672004</v>
      </c>
      <c r="H8" s="1">
        <f>H7*$AF8*$AG$5</f>
        <v>1.27804427947248</v>
      </c>
      <c r="I8" s="1">
        <f>I7*$AF8*$AG$5</f>
        <v>1.3659098236862131</v>
      </c>
      <c r="J8" s="1">
        <f>J7*$AF8*$AG$5</f>
        <v>1.44938209068926</v>
      </c>
      <c r="K8" s="1">
        <f>K7*$AF8*$AG$5</f>
        <v>1.5290981056771691</v>
      </c>
      <c r="L8" s="1">
        <f>L7*$AF8*$AG$5</f>
        <v>1.6055530109610276</v>
      </c>
      <c r="M8" s="1">
        <f>M7*$AF8*$AG$5</f>
        <v>1.6791408572967419</v>
      </c>
      <c r="N8" s="1">
        <f>N7*$AF8*$AG$5</f>
        <v>1.7501814320285269</v>
      </c>
      <c r="O8" s="1">
        <f>O7*$AF8*$AG$5</f>
        <v>1.8189385597153622</v>
      </c>
      <c r="P8" s="1">
        <f>P7*$AF8*$AG$5</f>
        <v>1.8856329735715922</v>
      </c>
      <c r="Q8" s="1">
        <f>Q7*$AF8*$AG$5</f>
        <v>1.9504516070381162</v>
      </c>
      <c r="R8" s="1">
        <f>R7*$AF8*$AG$5</f>
        <v>2.0135544531481724</v>
      </c>
      <c r="S8" s="1">
        <f>S7*$AF8*$AG$5</f>
        <v>2.0750797281054774</v>
      </c>
      <c r="T8" s="1">
        <f>T7*$AF8*$AG$5</f>
        <v>2.1351478254980045</v>
      </c>
      <c r="U8" s="1">
        <f>U7*$AF8*$AG$5</f>
        <v>2.1938643906992001</v>
      </c>
      <c r="V8" s="1">
        <f>V7*$AF8*$AG$5</f>
        <v>2.2513227437889403</v>
      </c>
      <c r="W8" s="1">
        <f>W7*$AF8*$AG$5</f>
        <v>2.3076058123836636</v>
      </c>
      <c r="X8" s="1">
        <f>X7*$AF8*$AG$5</f>
        <v>2.3627876905058818</v>
      </c>
      <c r="Y8" s="1">
        <f>Y7*$AF8*$AG$5</f>
        <v>2.416934908413308</v>
      </c>
      <c r="Z8" s="1">
        <f>Z7*$AF8*$AG$5</f>
        <v>2.4701074763984008</v>
      </c>
      <c r="AA8" s="1">
        <f>AA7*$AF8*$AG$5</f>
        <v>2.5223597499375976</v>
      </c>
      <c r="AB8" s="1">
        <f>AB7*$AF8*$AG$5</f>
        <v>2.5737411522511411</v>
      </c>
      <c r="AC8" s="1">
        <f>AC7*$AF8*$AG$5</f>
        <v>2.6242967820275029</v>
      </c>
      <c r="AD8" s="1">
        <f>AD7*$AF8*$AG$5</f>
        <v>2.674067927893542</v>
      </c>
      <c r="AE8" s="5">
        <f>AE7*$AF8*$AG$5</f>
        <v>2.7230925065715903</v>
      </c>
      <c r="AF8" s="1">
        <f>1+C33</f>
        <v>1.2</v>
      </c>
      <c r="AG8" s="9">
        <v>0.75</v>
      </c>
    </row>
    <row r="9" spans="1:37" x14ac:dyDescent="0.3">
      <c r="A9" s="14"/>
      <c r="B9" s="14"/>
      <c r="C9" s="2">
        <v>6</v>
      </c>
      <c r="D9" s="1">
        <f>D8*$AF9*$AG$5</f>
        <v>0.92271413248000056</v>
      </c>
      <c r="E9" s="1">
        <f>E8*$AF9*$AG$5</f>
        <v>1.0495873256960002</v>
      </c>
      <c r="F9" s="1">
        <f>F8*$AF9*$AG$5</f>
        <v>1.1650419315225606</v>
      </c>
      <c r="G9" s="1">
        <f>G8*$AF9*$AG$5</f>
        <v>1.2718374419121288</v>
      </c>
      <c r="H9" s="1">
        <f>H8*$AF9*$AG$5</f>
        <v>1.3717675266337954</v>
      </c>
      <c r="I9" s="1">
        <f>I8*$AF9*$AG$5</f>
        <v>1.4660765440898689</v>
      </c>
      <c r="J9" s="1">
        <f>J8*$AF9*$AG$5</f>
        <v>1.5556701106731392</v>
      </c>
      <c r="K9" s="1">
        <f>K8*$AF9*$AG$5</f>
        <v>1.6412319667601616</v>
      </c>
      <c r="L9" s="1">
        <f>L8*$AF9*$AG$5</f>
        <v>1.7232935650981698</v>
      </c>
      <c r="M9" s="1">
        <f>M8*$AF9*$AG$5</f>
        <v>1.8022778534985031</v>
      </c>
      <c r="N9" s="1">
        <f>N8*$AF9*$AG$5</f>
        <v>1.8785280703772855</v>
      </c>
      <c r="O9" s="1">
        <f>O8*$AF9*$AG$5</f>
        <v>1.9523273874278222</v>
      </c>
      <c r="P9" s="1">
        <f>P8*$AF9*$AG$5</f>
        <v>2.0239127249668423</v>
      </c>
      <c r="Q9" s="1">
        <f>Q8*$AF9*$AG$5</f>
        <v>2.0934847248875781</v>
      </c>
      <c r="R9" s="1">
        <f>R8*$AF9*$AG$5</f>
        <v>2.1612151130457051</v>
      </c>
      <c r="S9" s="1">
        <f>S8*$AF9*$AG$5</f>
        <v>2.2272522414998797</v>
      </c>
      <c r="T9" s="1">
        <f>T8*$AF9*$AG$5</f>
        <v>2.2917253327011919</v>
      </c>
      <c r="U9" s="1">
        <f>U8*$AF9*$AG$5</f>
        <v>2.354747779350475</v>
      </c>
      <c r="V9" s="1">
        <f>V8*$AF9*$AG$5</f>
        <v>2.4164197450001295</v>
      </c>
      <c r="W9" s="1">
        <f>W8*$AF9*$AG$5</f>
        <v>2.4768302386251326</v>
      </c>
      <c r="X9" s="1">
        <f>X8*$AF9*$AG$5</f>
        <v>2.536058787809647</v>
      </c>
      <c r="Y9" s="1">
        <f>Y8*$AF9*$AG$5</f>
        <v>2.5941768016969511</v>
      </c>
      <c r="Z9" s="1">
        <f>Z8*$AF9*$AG$5</f>
        <v>2.6512486913342839</v>
      </c>
      <c r="AA9" s="1">
        <f>AA8*$AF9*$AG$5</f>
        <v>2.7073327982663549</v>
      </c>
      <c r="AB9" s="1">
        <f>AB8*$AF9*$AG$5</f>
        <v>2.7624821700828917</v>
      </c>
      <c r="AC9" s="1">
        <f>AC8*$AF9*$AG$5</f>
        <v>2.8167452127095203</v>
      </c>
      <c r="AD9" s="1">
        <f>AD8*$AF9*$AG$5</f>
        <v>2.8701662426057353</v>
      </c>
      <c r="AE9" s="5">
        <f>AE8*$AF9*$AG$5</f>
        <v>2.9227859570535073</v>
      </c>
      <c r="AF9" s="1">
        <f>1+C34</f>
        <v>1.1666666666666667</v>
      </c>
      <c r="AG9" s="10">
        <v>0.8</v>
      </c>
    </row>
    <row r="10" spans="1:37" x14ac:dyDescent="0.3">
      <c r="A10" s="14"/>
      <c r="B10" s="14"/>
      <c r="C10" s="2">
        <v>7</v>
      </c>
      <c r="D10" s="1">
        <f>D9*$AF10*$AG$5</f>
        <v>0.97016800215040055</v>
      </c>
      <c r="E10" s="1">
        <f>E9*$AF10*$AG$5</f>
        <v>1.1035661024460803</v>
      </c>
      <c r="F10" s="1">
        <f>F9*$AF10*$AG$5</f>
        <v>1.2249583737151495</v>
      </c>
      <c r="G10" s="1">
        <f>G9*$AF10*$AG$5</f>
        <v>1.3372462246390382</v>
      </c>
      <c r="H10" s="1">
        <f>H9*$AF10*$AG$5</f>
        <v>1.4423155708606763</v>
      </c>
      <c r="I10" s="1">
        <f>I9*$AF10*$AG$5</f>
        <v>1.5414747663573478</v>
      </c>
      <c r="J10" s="1">
        <f>J9*$AF10*$AG$5</f>
        <v>1.6356760020791863</v>
      </c>
      <c r="K10" s="1">
        <f>K9*$AF10*$AG$5</f>
        <v>1.7256381821935414</v>
      </c>
      <c r="L10" s="1">
        <f>L9*$AF10*$AG$5</f>
        <v>1.8119200913032185</v>
      </c>
      <c r="M10" s="1">
        <f>M9*$AF10*$AG$5</f>
        <v>1.8949664288212833</v>
      </c>
      <c r="N10" s="1">
        <f>N9*$AF10*$AG$5</f>
        <v>1.9751380854252603</v>
      </c>
      <c r="O10" s="1">
        <f>O9*$AF10*$AG$5</f>
        <v>2.0527327959241104</v>
      </c>
      <c r="P10" s="1">
        <f>P9*$AF10*$AG$5</f>
        <v>2.127999665107994</v>
      </c>
      <c r="Q10" s="1">
        <f>Q9*$AF10*$AG$5</f>
        <v>2.2011496535960822</v>
      </c>
      <c r="R10" s="1">
        <f>R9*$AF10*$AG$5</f>
        <v>2.2723633188594841</v>
      </c>
      <c r="S10" s="1">
        <f>S9*$AF10*$AG$5</f>
        <v>2.3417966424913019</v>
      </c>
      <c r="T10" s="1">
        <f>T9*$AF10*$AG$5</f>
        <v>2.4095854926686817</v>
      </c>
      <c r="U10" s="1">
        <f>U9*$AF10*$AG$5</f>
        <v>2.4758490937170707</v>
      </c>
      <c r="V10" s="1">
        <f>V9*$AF10*$AG$5</f>
        <v>2.5406927604572789</v>
      </c>
      <c r="W10" s="1">
        <f>W9*$AF10*$AG$5</f>
        <v>2.6042100794687109</v>
      </c>
      <c r="X10" s="1">
        <f>X9*$AF10*$AG$5</f>
        <v>2.6664846683255718</v>
      </c>
      <c r="Y10" s="1">
        <f>Y9*$AF10*$AG$5</f>
        <v>2.7275916086413656</v>
      </c>
      <c r="Z10" s="1">
        <f>Z9*$AF10*$AG$5</f>
        <v>2.7875986240314754</v>
      </c>
      <c r="AA10" s="1">
        <f>AA9*$AF10*$AG$5</f>
        <v>2.8465670564629102</v>
      </c>
      <c r="AB10" s="1">
        <f>AB9*$AF10*$AG$5</f>
        <v>2.9045526816871545</v>
      </c>
      <c r="AC10" s="1">
        <f>AC9*$AF10*$AG$5</f>
        <v>2.9616063950774385</v>
      </c>
      <c r="AD10" s="1">
        <f>AD9*$AF10*$AG$5</f>
        <v>3.0177747922254587</v>
      </c>
      <c r="AE10" s="5">
        <f>AE9*$AF10*$AG$5</f>
        <v>3.073100663416259</v>
      </c>
      <c r="AF10" s="1">
        <f>1+C35</f>
        <v>1.1428571428571428</v>
      </c>
      <c r="AG10" s="10" t="s">
        <v>30</v>
      </c>
    </row>
    <row r="11" spans="1:37" x14ac:dyDescent="0.3">
      <c r="A11" s="14"/>
      <c r="B11" s="14"/>
      <c r="C11" s="2">
        <v>8</v>
      </c>
      <c r="D11" s="1">
        <f>D10*$AF11*$AG$5</f>
        <v>1.0041238822256646</v>
      </c>
      <c r="E11" s="1">
        <f>E10*$AF11*$AG$5</f>
        <v>1.1421909160316932</v>
      </c>
      <c r="F11" s="1">
        <f>F10*$AF11*$AG$5</f>
        <v>1.2678319167951799</v>
      </c>
      <c r="G11" s="1">
        <f>G10*$AF11*$AG$5</f>
        <v>1.3840498425014047</v>
      </c>
      <c r="H11" s="1">
        <f>H10*$AF11*$AG$5</f>
        <v>1.4927966158408001</v>
      </c>
      <c r="I11" s="1">
        <f>I10*$AF11*$AG$5</f>
        <v>1.5954263831798552</v>
      </c>
      <c r="J11" s="1">
        <f>J10*$AF11*$AG$5</f>
        <v>1.692924662151958</v>
      </c>
      <c r="K11" s="1">
        <f>K10*$AF11*$AG$5</f>
        <v>1.7860355185703154</v>
      </c>
      <c r="L11" s="1">
        <f>L10*$AF11*$AG$5</f>
        <v>1.8753372944988311</v>
      </c>
      <c r="M11" s="1">
        <f>M10*$AF11*$AG$5</f>
        <v>1.9612902538300283</v>
      </c>
      <c r="N11" s="1">
        <f>N10*$AF11*$AG$5</f>
        <v>2.0442679184151444</v>
      </c>
      <c r="O11" s="1">
        <f>O10*$AF11*$AG$5</f>
        <v>2.1245784437814543</v>
      </c>
      <c r="P11" s="1">
        <f>P10*$AF11*$AG$5</f>
        <v>2.2024796533867739</v>
      </c>
      <c r="Q11" s="1">
        <f>Q10*$AF11*$AG$5</f>
        <v>2.2781898914719454</v>
      </c>
      <c r="R11" s="1">
        <f>R10*$AF11*$AG$5</f>
        <v>2.3518960350195659</v>
      </c>
      <c r="S11" s="1">
        <f>S10*$AF11*$AG$5</f>
        <v>2.4237595249784976</v>
      </c>
      <c r="T11" s="1">
        <f>T10*$AF11*$AG$5</f>
        <v>2.4939209849120858</v>
      </c>
      <c r="U11" s="1">
        <f>U10*$AF11*$AG$5</f>
        <v>2.5625038119971681</v>
      </c>
      <c r="V11" s="1">
        <f>V10*$AF11*$AG$5</f>
        <v>2.6296170070732838</v>
      </c>
      <c r="W11" s="1">
        <f>W10*$AF11*$AG$5</f>
        <v>2.6953574322501157</v>
      </c>
      <c r="X11" s="1">
        <f>X10*$AF11*$AG$5</f>
        <v>2.7598116317169672</v>
      </c>
      <c r="Y11" s="1">
        <f>Y10*$AF11*$AG$5</f>
        <v>2.8230573149438136</v>
      </c>
      <c r="Z11" s="1">
        <f>Z10*$AF11*$AG$5</f>
        <v>2.8851645758725772</v>
      </c>
      <c r="AA11" s="1">
        <f>AA10*$AF11*$AG$5</f>
        <v>2.946196903439112</v>
      </c>
      <c r="AB11" s="1">
        <f>AB10*$AF11*$AG$5</f>
        <v>3.0062120255462048</v>
      </c>
      <c r="AC11" s="1">
        <f>AC10*$AF11*$AG$5</f>
        <v>3.0652626189051491</v>
      </c>
      <c r="AD11" s="1">
        <f>AD10*$AF11*$AG$5</f>
        <v>3.1233969099533501</v>
      </c>
      <c r="AE11" s="5">
        <f>AE10*$AF11*$AG$5</f>
        <v>3.180659186635828</v>
      </c>
      <c r="AF11" s="1">
        <f>1+C36</f>
        <v>1.125</v>
      </c>
    </row>
    <row r="12" spans="1:37" x14ac:dyDescent="0.3">
      <c r="A12" s="14"/>
      <c r="B12" s="13" t="s">
        <v>13</v>
      </c>
      <c r="C12" s="2">
        <v>1</v>
      </c>
      <c r="D12" s="1">
        <f>D4*$AG$8</f>
        <v>0.30000000000000004</v>
      </c>
      <c r="E12" s="1">
        <f>E4*$AG$8</f>
        <v>0.34125</v>
      </c>
      <c r="F12" s="1">
        <f>F4*$AG$8</f>
        <v>0.37878750000000005</v>
      </c>
      <c r="G12" s="1">
        <f>G4*$AG$8</f>
        <v>0.41350968750000011</v>
      </c>
      <c r="H12" s="1">
        <f>H4*$AG$8</f>
        <v>0.44599973437500007</v>
      </c>
      <c r="I12" s="1">
        <f>I4*$AG$8</f>
        <v>0.47666221611328141</v>
      </c>
      <c r="J12" s="1">
        <f>J4*$AG$8</f>
        <v>0.50579157376464856</v>
      </c>
      <c r="K12" s="1">
        <f>K4*$AG$8</f>
        <v>0.53361011032170425</v>
      </c>
      <c r="L12" s="1">
        <f>L4*$AG$8</f>
        <v>0.5602906158377895</v>
      </c>
      <c r="M12" s="1">
        <f>M4*$AG$8</f>
        <v>0.58597060239702159</v>
      </c>
      <c r="N12" s="1">
        <f>N4*$AG$8</f>
        <v>0.61076166634458784</v>
      </c>
      <c r="O12" s="1">
        <f>O4*$AG$8</f>
        <v>0.63475587466526817</v>
      </c>
      <c r="P12" s="1">
        <f>P4*$AG$8</f>
        <v>0.65803025673632809</v>
      </c>
      <c r="Q12" s="1">
        <f>Q4*$AG$8</f>
        <v>0.68065004681163943</v>
      </c>
      <c r="R12" s="1">
        <f>R4*$AG$8</f>
        <v>0.70267107773789839</v>
      </c>
      <c r="S12" s="1">
        <f>S4*$AG$8</f>
        <v>0.72414158289100072</v>
      </c>
      <c r="T12" s="1">
        <f>T4*$AG$8</f>
        <v>0.7451035760799507</v>
      </c>
      <c r="U12" s="1">
        <f>U4*$AG$8</f>
        <v>0.76559392442214946</v>
      </c>
      <c r="V12" s="1">
        <f>V4*$AG$8</f>
        <v>0.78564519387130094</v>
      </c>
      <c r="W12" s="1">
        <f>W4*$AG$8</f>
        <v>0.80528632371808329</v>
      </c>
      <c r="X12" s="1">
        <f>X4*$AG$8</f>
        <v>0.82454317058960258</v>
      </c>
      <c r="Y12" s="1">
        <f>Y4*$AG$8</f>
        <v>0.84343895158228099</v>
      </c>
      <c r="Z12" s="1">
        <f>Z4*$AG$8</f>
        <v>0.8619946085170912</v>
      </c>
      <c r="AA12" s="1">
        <f>AA4*$AG$8</f>
        <v>0.88022910985110658</v>
      </c>
      <c r="AB12" s="1">
        <f>AB4*$AG$8</f>
        <v>0.89815970282955493</v>
      </c>
      <c r="AC12" s="1">
        <f>AC4*$AG$8</f>
        <v>0.91580212556370699</v>
      </c>
      <c r="AD12" s="1">
        <f>AD4*$AG$8</f>
        <v>0.93317078656577723</v>
      </c>
      <c r="AE12" s="1">
        <f>AE4*$AG$8</f>
        <v>0.95027891765281658</v>
      </c>
    </row>
    <row r="13" spans="1:37" x14ac:dyDescent="0.3">
      <c r="A13" s="14"/>
      <c r="B13" s="14"/>
      <c r="C13" s="2">
        <v>2</v>
      </c>
      <c r="D13" s="1">
        <f>D12*$AF13*$AG$5</f>
        <v>0.41400000000000009</v>
      </c>
      <c r="E13" s="1">
        <f>E12*$AF13*$AG$5</f>
        <v>0.47092499999999998</v>
      </c>
      <c r="F13" s="1">
        <f>F12*$AF13*$AG$5</f>
        <v>0.52272675000000013</v>
      </c>
      <c r="G13" s="1">
        <f>G12*$AF13*$AG$5</f>
        <v>0.5706433687500001</v>
      </c>
      <c r="H13" s="1">
        <f>H12*$AF13*$AG$5</f>
        <v>0.61547963343750012</v>
      </c>
      <c r="I13" s="1">
        <f>I12*$AF13*$AG$5</f>
        <v>0.65779385823632841</v>
      </c>
      <c r="J13" s="1">
        <f>J12*$AF13*$AG$5</f>
        <v>0.69799237179521501</v>
      </c>
      <c r="K13" s="1">
        <f>K12*$AF13*$AG$5</f>
        <v>0.73638195224395198</v>
      </c>
      <c r="L13" s="1">
        <f>L12*$AF13*$AG$5</f>
        <v>0.77320104985614957</v>
      </c>
      <c r="M13" s="1">
        <f>M12*$AF13*$AG$5</f>
        <v>0.80863943130788973</v>
      </c>
      <c r="N13" s="1">
        <f>N12*$AF13*$AG$5</f>
        <v>0.84285109955553128</v>
      </c>
      <c r="O13" s="1">
        <f>O12*$AF13*$AG$5</f>
        <v>0.87596310703807012</v>
      </c>
      <c r="P13" s="1">
        <f>P12*$AF13*$AG$5</f>
        <v>0.9080817542961328</v>
      </c>
      <c r="Q13" s="1">
        <f>Q12*$AF13*$AG$5</f>
        <v>0.93929706460006246</v>
      </c>
      <c r="R13" s="1">
        <f>R12*$AF13*$AG$5</f>
        <v>0.96968608727829986</v>
      </c>
      <c r="S13" s="1">
        <f>S12*$AF13*$AG$5</f>
        <v>0.99931538438958101</v>
      </c>
      <c r="T13" s="1">
        <f>T12*$AF13*$AG$5</f>
        <v>1.0282429349903319</v>
      </c>
      <c r="U13" s="1">
        <f>U12*$AF13*$AG$5</f>
        <v>1.0565196157025663</v>
      </c>
      <c r="V13" s="1">
        <f>V12*$AF13*$AG$5</f>
        <v>1.0841903675423954</v>
      </c>
      <c r="W13" s="1">
        <f>W12*$AF13*$AG$5</f>
        <v>1.111295126730955</v>
      </c>
      <c r="X13" s="1">
        <f>X12*$AF13*$AG$5</f>
        <v>1.1378695754136516</v>
      </c>
      <c r="Y13" s="1">
        <f>Y12*$AF13*$AG$5</f>
        <v>1.163945753183548</v>
      </c>
      <c r="Z13" s="1">
        <f>Z12*$AF13*$AG$5</f>
        <v>1.1895525597535859</v>
      </c>
      <c r="AA13" s="1">
        <f>AA12*$AF13*$AG$5</f>
        <v>1.2147161715945269</v>
      </c>
      <c r="AB13" s="1">
        <f>AB12*$AF13*$AG$5</f>
        <v>1.2394603899047858</v>
      </c>
      <c r="AC13" s="1">
        <f>AC12*$AF13*$AG$5</f>
        <v>1.2638069332779156</v>
      </c>
      <c r="AD13" s="1">
        <f>AD12*$AF13*$AG$5</f>
        <v>1.2877756854607725</v>
      </c>
      <c r="AE13" s="5">
        <f>AE12*$AF13*$AG$5</f>
        <v>1.3113849063608869</v>
      </c>
      <c r="AF13" s="1">
        <f>1+C30</f>
        <v>1.5</v>
      </c>
    </row>
    <row r="14" spans="1:37" x14ac:dyDescent="0.3">
      <c r="A14" s="14"/>
      <c r="B14" s="14"/>
      <c r="C14" s="2">
        <v>3</v>
      </c>
      <c r="D14" s="1">
        <f>D13*$AF14*$AG$5</f>
        <v>0.50784000000000007</v>
      </c>
      <c r="E14" s="1">
        <f>E13*$AF14*$AG$5</f>
        <v>0.57766799999999996</v>
      </c>
      <c r="F14" s="1">
        <f>F13*$AF14*$AG$5</f>
        <v>0.64121148000000017</v>
      </c>
      <c r="G14" s="1">
        <f>G13*$AF14*$AG$5</f>
        <v>0.69998919900000012</v>
      </c>
      <c r="H14" s="1">
        <f>H13*$AF14*$AG$5</f>
        <v>0.75498835035000011</v>
      </c>
      <c r="I14" s="1">
        <f>I13*$AF14*$AG$5</f>
        <v>0.80689379943656281</v>
      </c>
      <c r="J14" s="1">
        <f>J13*$AF14*$AG$5</f>
        <v>0.85620397606879706</v>
      </c>
      <c r="K14" s="1">
        <f>K13*$AF14*$AG$5</f>
        <v>0.90329519475258113</v>
      </c>
      <c r="L14" s="1">
        <f>L13*$AF14*$AG$5</f>
        <v>0.94845995449021003</v>
      </c>
      <c r="M14" s="1">
        <f>M13*$AF14*$AG$5</f>
        <v>0.99193103573767816</v>
      </c>
      <c r="N14" s="1">
        <f>N13*$AF14*$AG$5</f>
        <v>1.0338973487881185</v>
      </c>
      <c r="O14" s="1">
        <f>O13*$AF14*$AG$5</f>
        <v>1.0745147446333658</v>
      </c>
      <c r="P14" s="1">
        <f>P13*$AF14*$AG$5</f>
        <v>1.1139136186032563</v>
      </c>
      <c r="Q14" s="1">
        <f>Q13*$AF14*$AG$5</f>
        <v>1.1522043992427431</v>
      </c>
      <c r="R14" s="1">
        <f>R13*$AF14*$AG$5</f>
        <v>1.1894816003947144</v>
      </c>
      <c r="S14" s="1">
        <f>S13*$AF14*$AG$5</f>
        <v>1.2258268715178859</v>
      </c>
      <c r="T14" s="1">
        <f>T13*$AF14*$AG$5</f>
        <v>1.2613113335881405</v>
      </c>
      <c r="U14" s="1">
        <f>U13*$AF14*$AG$5</f>
        <v>1.2959973952618145</v>
      </c>
      <c r="V14" s="1">
        <f>V13*$AF14*$AG$5</f>
        <v>1.3299401841853382</v>
      </c>
      <c r="W14" s="1">
        <f>W13*$AF14*$AG$5</f>
        <v>1.3631886887899713</v>
      </c>
      <c r="X14" s="1">
        <f>X13*$AF14*$AG$5</f>
        <v>1.3957866791740794</v>
      </c>
      <c r="Y14" s="1">
        <f>Y13*$AF14*$AG$5</f>
        <v>1.4277734572384855</v>
      </c>
      <c r="Z14" s="1">
        <f>Z13*$AF14*$AG$5</f>
        <v>1.4591844732977319</v>
      </c>
      <c r="AA14" s="1">
        <f>AA13*$AF14*$AG$5</f>
        <v>1.490051837155953</v>
      </c>
      <c r="AB14" s="1">
        <f>AB13*$AF14*$AG$5</f>
        <v>1.5204047449498705</v>
      </c>
      <c r="AC14" s="1">
        <f>AC13*$AF14*$AG$5</f>
        <v>1.550269838154243</v>
      </c>
      <c r="AD14" s="1">
        <f>AD13*$AF14*$AG$5</f>
        <v>1.5796715074985475</v>
      </c>
      <c r="AE14" s="5">
        <f>AE13*$AF14*$AG$5</f>
        <v>1.608632151802688</v>
      </c>
      <c r="AF14" s="1">
        <f>1+C31</f>
        <v>1.3333333333333333</v>
      </c>
    </row>
    <row r="15" spans="1:37" x14ac:dyDescent="0.3">
      <c r="A15" s="14"/>
      <c r="B15" s="14"/>
      <c r="C15" s="2">
        <v>4</v>
      </c>
      <c r="D15" s="1">
        <f>D14*$AF15*$AG$5</f>
        <v>0.58401600000000009</v>
      </c>
      <c r="E15" s="1">
        <f>E14*$AF15*$AG$5</f>
        <v>0.66431819999999997</v>
      </c>
      <c r="F15" s="1">
        <f>F14*$AF15*$AG$5</f>
        <v>0.73739320200000014</v>
      </c>
      <c r="G15" s="1">
        <f>G14*$AF15*$AG$5</f>
        <v>0.80498757885000016</v>
      </c>
      <c r="H15" s="1">
        <f>H14*$AF15*$AG$5</f>
        <v>0.86823660290250015</v>
      </c>
      <c r="I15" s="1">
        <f>I14*$AF15*$AG$5</f>
        <v>0.9279278693520473</v>
      </c>
      <c r="J15" s="1">
        <f>J14*$AF15*$AG$5</f>
        <v>0.98463457247911657</v>
      </c>
      <c r="K15" s="1">
        <f>K14*$AF15*$AG$5</f>
        <v>1.0387894739654684</v>
      </c>
      <c r="L15" s="1">
        <f>L14*$AF15*$AG$5</f>
        <v>1.0907289476637414</v>
      </c>
      <c r="M15" s="1">
        <f>M14*$AF15*$AG$5</f>
        <v>1.1407206910983299</v>
      </c>
      <c r="N15" s="1">
        <f>N14*$AF15*$AG$5</f>
        <v>1.1889819511063362</v>
      </c>
      <c r="O15" s="1">
        <f>O14*$AF15*$AG$5</f>
        <v>1.2356919563283706</v>
      </c>
      <c r="P15" s="1">
        <f>P14*$AF15*$AG$5</f>
        <v>1.2810006613937448</v>
      </c>
      <c r="Q15" s="1">
        <f>Q14*$AF15*$AG$5</f>
        <v>1.3250350591291546</v>
      </c>
      <c r="R15" s="1">
        <f>R14*$AF15*$AG$5</f>
        <v>1.3679038404539217</v>
      </c>
      <c r="S15" s="1">
        <f>S14*$AF15*$AG$5</f>
        <v>1.4097009022455689</v>
      </c>
      <c r="T15" s="1">
        <f>T14*$AF15*$AG$5</f>
        <v>1.4505080336263616</v>
      </c>
      <c r="U15" s="1">
        <f>U14*$AF15*$AG$5</f>
        <v>1.4903970045510866</v>
      </c>
      <c r="V15" s="1">
        <f>V14*$AF15*$AG$5</f>
        <v>1.529431211813139</v>
      </c>
      <c r="W15" s="1">
        <f>W14*$AF15*$AG$5</f>
        <v>1.5676669921084672</v>
      </c>
      <c r="X15" s="1">
        <f>X14*$AF15*$AG$5</f>
        <v>1.6051546810501915</v>
      </c>
      <c r="Y15" s="1">
        <f>Y14*$AF15*$AG$5</f>
        <v>1.6419394758242585</v>
      </c>
      <c r="Z15" s="1">
        <f>Z14*$AF15*$AG$5</f>
        <v>1.6780621442923918</v>
      </c>
      <c r="AA15" s="1">
        <f>AA14*$AF15*$AG$5</f>
        <v>1.713559612729346</v>
      </c>
      <c r="AB15" s="1">
        <f>AB14*$AF15*$AG$5</f>
        <v>1.7484654566923512</v>
      </c>
      <c r="AC15" s="1">
        <f>AC14*$AF15*$AG$5</f>
        <v>1.7828103138773796</v>
      </c>
      <c r="AD15" s="1">
        <f>AD14*$AF15*$AG$5</f>
        <v>1.8166222336233298</v>
      </c>
      <c r="AE15" s="5">
        <f>AE14*$AF15*$AG$5</f>
        <v>1.8499269745730915</v>
      </c>
      <c r="AF15" s="1">
        <f>1+C32</f>
        <v>1.25</v>
      </c>
    </row>
    <row r="16" spans="1:37" x14ac:dyDescent="0.3">
      <c r="A16" s="14"/>
      <c r="B16" s="14"/>
      <c r="C16" s="2">
        <v>5</v>
      </c>
      <c r="D16" s="1">
        <f>D15*$AF16*$AG$5</f>
        <v>0.64475366400000012</v>
      </c>
      <c r="E16" s="1">
        <f>E15*$AF16*$AG$5</f>
        <v>0.73340729279999994</v>
      </c>
      <c r="F16" s="1">
        <f>F15*$AF16*$AG$5</f>
        <v>0.81408209500800022</v>
      </c>
      <c r="G16" s="1">
        <f>G15*$AF16*$AG$5</f>
        <v>0.88870628705040022</v>
      </c>
      <c r="H16" s="1">
        <f>H15*$AF16*$AG$5</f>
        <v>0.95853320960436017</v>
      </c>
      <c r="I16" s="1">
        <f>I15*$AF16*$AG$5</f>
        <v>1.0244323677646603</v>
      </c>
      <c r="J16" s="1">
        <f>J15*$AF16*$AG$5</f>
        <v>1.0870365680169447</v>
      </c>
      <c r="K16" s="1">
        <f>K15*$AF16*$AG$5</f>
        <v>1.1468235792578771</v>
      </c>
      <c r="L16" s="1">
        <f>L15*$AF16*$AG$5</f>
        <v>1.2041647582207706</v>
      </c>
      <c r="M16" s="1">
        <f>M15*$AF16*$AG$5</f>
        <v>1.2593556429725561</v>
      </c>
      <c r="N16" s="1">
        <f>N15*$AF16*$AG$5</f>
        <v>1.3126360740213951</v>
      </c>
      <c r="O16" s="1">
        <f>O15*$AF16*$AG$5</f>
        <v>1.3642039197865212</v>
      </c>
      <c r="P16" s="1">
        <f>P15*$AF16*$AG$5</f>
        <v>1.4142247301786941</v>
      </c>
      <c r="Q16" s="1">
        <f>Q15*$AF16*$AG$5</f>
        <v>1.4628387052785867</v>
      </c>
      <c r="R16" s="1">
        <f>R15*$AF16*$AG$5</f>
        <v>1.5101658398611295</v>
      </c>
      <c r="S16" s="1">
        <f>S15*$AF16*$AG$5</f>
        <v>1.5563097960791081</v>
      </c>
      <c r="T16" s="1">
        <f>T15*$AF16*$AG$5</f>
        <v>1.6013608691235031</v>
      </c>
      <c r="U16" s="1">
        <f>U15*$AF16*$AG$5</f>
        <v>1.6453982930243995</v>
      </c>
      <c r="V16" s="1">
        <f>V15*$AF16*$AG$5</f>
        <v>1.6884920578417053</v>
      </c>
      <c r="W16" s="1">
        <f>W15*$AF16*$AG$5</f>
        <v>1.7307043592877476</v>
      </c>
      <c r="X16" s="1">
        <f>X15*$AF16*$AG$5</f>
        <v>1.7720907678794116</v>
      </c>
      <c r="Y16" s="1">
        <f>Y15*$AF16*$AG$5</f>
        <v>1.8127011813099814</v>
      </c>
      <c r="Z16" s="1">
        <f>Z15*$AF16*$AG$5</f>
        <v>1.8525806072988003</v>
      </c>
      <c r="AA16" s="1">
        <f>AA15*$AF16*$AG$5</f>
        <v>1.8917698124531979</v>
      </c>
      <c r="AB16" s="1">
        <f>AB15*$AF16*$AG$5</f>
        <v>1.9303058641883557</v>
      </c>
      <c r="AC16" s="1">
        <f>AC15*$AF16*$AG$5</f>
        <v>1.9682225865206271</v>
      </c>
      <c r="AD16" s="1">
        <f>AD15*$AF16*$AG$5</f>
        <v>2.0055509459201559</v>
      </c>
      <c r="AE16" s="5">
        <f>AE15*$AF16*$AG$5</f>
        <v>2.0423193799286929</v>
      </c>
      <c r="AF16" s="1">
        <f>1+C33</f>
        <v>1.2</v>
      </c>
    </row>
    <row r="17" spans="1:33" x14ac:dyDescent="0.3">
      <c r="A17" s="14"/>
      <c r="B17" s="14"/>
      <c r="C17" s="2">
        <v>6</v>
      </c>
      <c r="D17" s="1">
        <f>D16*$AF17*$AG$5</f>
        <v>0.69203559936000025</v>
      </c>
      <c r="E17" s="1">
        <f>E16*$AF17*$AG$5</f>
        <v>0.78719049427200005</v>
      </c>
      <c r="F17" s="1">
        <f>F16*$AF17*$AG$5</f>
        <v>0.87378144864192031</v>
      </c>
      <c r="G17" s="1">
        <f>G16*$AF17*$AG$5</f>
        <v>0.95387808143409636</v>
      </c>
      <c r="H17" s="1">
        <f>H16*$AF17*$AG$5</f>
        <v>1.0288256449753466</v>
      </c>
      <c r="I17" s="1">
        <f>I16*$AF17*$AG$5</f>
        <v>1.0995574080674022</v>
      </c>
      <c r="J17" s="1">
        <f>J16*$AF17*$AG$5</f>
        <v>1.1667525830048542</v>
      </c>
      <c r="K17" s="1">
        <f>K16*$AF17*$AG$5</f>
        <v>1.2309239750701215</v>
      </c>
      <c r="L17" s="1">
        <f>L16*$AF17*$AG$5</f>
        <v>1.2924701738236273</v>
      </c>
      <c r="M17" s="1">
        <f>M16*$AF17*$AG$5</f>
        <v>1.3517083901238771</v>
      </c>
      <c r="N17" s="1">
        <f>N16*$AF17*$AG$5</f>
        <v>1.4088960527829644</v>
      </c>
      <c r="O17" s="1">
        <f>O16*$AF17*$AG$5</f>
        <v>1.4642455405708663</v>
      </c>
      <c r="P17" s="1">
        <f>P16*$AF17*$AG$5</f>
        <v>1.5179345437251317</v>
      </c>
      <c r="Q17" s="1">
        <f>Q16*$AF17*$AG$5</f>
        <v>1.5701135436656832</v>
      </c>
      <c r="R17" s="1">
        <f>R16*$AF17*$AG$5</f>
        <v>1.6209113347842792</v>
      </c>
      <c r="S17" s="1">
        <f>S16*$AF17*$AG$5</f>
        <v>1.6704391811249095</v>
      </c>
      <c r="T17" s="1">
        <f>T16*$AF17*$AG$5</f>
        <v>1.7187939995258936</v>
      </c>
      <c r="U17" s="1">
        <f>U16*$AF17*$AG$5</f>
        <v>1.7660608345128557</v>
      </c>
      <c r="V17" s="1">
        <f>V16*$AF17*$AG$5</f>
        <v>1.8123148087500973</v>
      </c>
      <c r="W17" s="1">
        <f>W16*$AF17*$AG$5</f>
        <v>1.8576226789688493</v>
      </c>
      <c r="X17" s="1">
        <f>X16*$AF17*$AG$5</f>
        <v>1.9020440908572351</v>
      </c>
      <c r="Y17" s="1">
        <f>Y16*$AF17*$AG$5</f>
        <v>1.9456326012727136</v>
      </c>
      <c r="Z17" s="1">
        <f>Z16*$AF17*$AG$5</f>
        <v>1.9884365185007125</v>
      </c>
      <c r="AA17" s="1">
        <f>AA16*$AF17*$AG$5</f>
        <v>2.030499598699766</v>
      </c>
      <c r="AB17" s="1">
        <f>AB16*$AF17*$AG$5</f>
        <v>2.0718616275621686</v>
      </c>
      <c r="AC17" s="1">
        <f>AC16*$AF17*$AG$5</f>
        <v>2.1125589095321398</v>
      </c>
      <c r="AD17" s="1">
        <f>AD16*$AF17*$AG$5</f>
        <v>2.1526246819543009</v>
      </c>
      <c r="AE17" s="5">
        <f>AE16*$AF17*$AG$5</f>
        <v>2.1920894677901308</v>
      </c>
      <c r="AF17" s="1">
        <f>1+C34</f>
        <v>1.1666666666666667</v>
      </c>
    </row>
    <row r="18" spans="1:33" x14ac:dyDescent="0.3">
      <c r="A18" s="14"/>
      <c r="B18" s="14"/>
      <c r="C18" s="2">
        <v>7</v>
      </c>
      <c r="D18" s="1">
        <f>D17*$AF18*$AG$5</f>
        <v>0.72762600161280033</v>
      </c>
      <c r="E18" s="1">
        <f>E17*$AF18*$AG$5</f>
        <v>0.82767457683456003</v>
      </c>
      <c r="F18" s="1">
        <f>F17*$AF18*$AG$5</f>
        <v>0.918718780286362</v>
      </c>
      <c r="G18" s="1">
        <f>G17*$AF18*$AG$5</f>
        <v>1.0029346684792786</v>
      </c>
      <c r="H18" s="1">
        <f>H17*$AF18*$AG$5</f>
        <v>1.0817366781455071</v>
      </c>
      <c r="I18" s="1">
        <f>I17*$AF18*$AG$5</f>
        <v>1.1561060747680114</v>
      </c>
      <c r="J18" s="1">
        <f>J17*$AF18*$AG$5</f>
        <v>1.2267570015593896</v>
      </c>
      <c r="K18" s="1">
        <f>K17*$AF18*$AG$5</f>
        <v>1.2942286366451563</v>
      </c>
      <c r="L18" s="1">
        <f>L17*$AF18*$AG$5</f>
        <v>1.3589400684774138</v>
      </c>
      <c r="M18" s="1">
        <f>M17*$AF18*$AG$5</f>
        <v>1.4212248216159622</v>
      </c>
      <c r="N18" s="1">
        <f>N17*$AF18*$AG$5</f>
        <v>1.4813535640689455</v>
      </c>
      <c r="O18" s="1">
        <f>O17*$AF18*$AG$5</f>
        <v>1.5395495969430824</v>
      </c>
      <c r="P18" s="1">
        <f>P17*$AF18*$AG$5</f>
        <v>1.5959997488309956</v>
      </c>
      <c r="Q18" s="1">
        <f>Q17*$AF18*$AG$5</f>
        <v>1.6508622401970614</v>
      </c>
      <c r="R18" s="1">
        <f>R17*$AF18*$AG$5</f>
        <v>1.7042724891446135</v>
      </c>
      <c r="S18" s="1">
        <f>S17*$AF18*$AG$5</f>
        <v>1.7563474818684763</v>
      </c>
      <c r="T18" s="1">
        <f>T17*$AF18*$AG$5</f>
        <v>1.8071891195015108</v>
      </c>
      <c r="U18" s="1">
        <f>U17*$AF18*$AG$5</f>
        <v>1.8568868202878026</v>
      </c>
      <c r="V18" s="1">
        <f>V17*$AF18*$AG$5</f>
        <v>1.9055195703429595</v>
      </c>
      <c r="W18" s="1">
        <f>W17*$AF18*$AG$5</f>
        <v>1.9531575596015331</v>
      </c>
      <c r="X18" s="1">
        <f>X17*$AF18*$AG$5</f>
        <v>1.9998635012441786</v>
      </c>
      <c r="Y18" s="1">
        <f>Y17*$AF18*$AG$5</f>
        <v>2.0456937064810248</v>
      </c>
      <c r="Z18" s="1">
        <f>Z17*$AF18*$AG$5</f>
        <v>2.0906989680236063</v>
      </c>
      <c r="AA18" s="1">
        <f>AA17*$AF18*$AG$5</f>
        <v>2.1349252923471829</v>
      </c>
      <c r="AB18" s="1">
        <f>AB17*$AF18*$AG$5</f>
        <v>2.1784145112653661</v>
      </c>
      <c r="AC18" s="1">
        <f>AC17*$AF18*$AG$5</f>
        <v>2.2212047963080783</v>
      </c>
      <c r="AD18" s="1">
        <f>AD17*$AF18*$AG$5</f>
        <v>2.2633310941690938</v>
      </c>
      <c r="AE18" s="5">
        <f>AE17*$AF18*$AG$5</f>
        <v>2.3048254975621947</v>
      </c>
      <c r="AF18" s="1">
        <f>1+C35</f>
        <v>1.1428571428571428</v>
      </c>
    </row>
    <row r="19" spans="1:33" x14ac:dyDescent="0.3">
      <c r="A19" s="14"/>
      <c r="B19" s="14"/>
      <c r="C19" s="2">
        <v>8</v>
      </c>
      <c r="D19" s="1">
        <f>D18*$AF19*$AG$5</f>
        <v>0.75309291166924841</v>
      </c>
      <c r="E19" s="1">
        <f>E18*$AF19*$AG$5</f>
        <v>0.85664318702376963</v>
      </c>
      <c r="F19" s="1">
        <f>F18*$AF19*$AG$5</f>
        <v>0.95087393759638483</v>
      </c>
      <c r="G19" s="1">
        <f>G18*$AF19*$AG$5</f>
        <v>1.0380373818760533</v>
      </c>
      <c r="H19" s="1">
        <f>H18*$AF19*$AG$5</f>
        <v>1.1195974618805999</v>
      </c>
      <c r="I19" s="1">
        <f>I18*$AF19*$AG$5</f>
        <v>1.1965697873848919</v>
      </c>
      <c r="J19" s="1">
        <f>J18*$AF19*$AG$5</f>
        <v>1.2696934966139684</v>
      </c>
      <c r="K19" s="1">
        <f>K18*$AF19*$AG$5</f>
        <v>1.3395266389277369</v>
      </c>
      <c r="L19" s="1">
        <f>L18*$AF19*$AG$5</f>
        <v>1.4065029708741235</v>
      </c>
      <c r="M19" s="1">
        <f>M18*$AF19*$AG$5</f>
        <v>1.4709676903725208</v>
      </c>
      <c r="N19" s="1">
        <f>N18*$AF19*$AG$5</f>
        <v>1.5332009388113585</v>
      </c>
      <c r="O19" s="1">
        <f>O18*$AF19*$AG$5</f>
        <v>1.5934338328360904</v>
      </c>
      <c r="P19" s="1">
        <f>P18*$AF19*$AG$5</f>
        <v>1.6518597400400805</v>
      </c>
      <c r="Q19" s="1">
        <f>Q18*$AF19*$AG$5</f>
        <v>1.7086424186039586</v>
      </c>
      <c r="R19" s="1">
        <f>R18*$AF19*$AG$5</f>
        <v>1.7639220262646751</v>
      </c>
      <c r="S19" s="1">
        <f>S18*$AF19*$AG$5</f>
        <v>1.8178196437338729</v>
      </c>
      <c r="T19" s="1">
        <f>T18*$AF19*$AG$5</f>
        <v>1.8704407386840638</v>
      </c>
      <c r="U19" s="1">
        <f>U18*$AF19*$AG$5</f>
        <v>1.9218778589978758</v>
      </c>
      <c r="V19" s="1">
        <f>V18*$AF19*$AG$5</f>
        <v>1.9722127553049633</v>
      </c>
      <c r="W19" s="1">
        <f>W18*$AF19*$AG$5</f>
        <v>2.0215180741875867</v>
      </c>
      <c r="X19" s="1">
        <f>X18*$AF19*$AG$5</f>
        <v>2.0698587237877248</v>
      </c>
      <c r="Y19" s="1">
        <f>Y18*$AF19*$AG$5</f>
        <v>2.1172929862078607</v>
      </c>
      <c r="Z19" s="1">
        <f>Z18*$AF19*$AG$5</f>
        <v>2.1638734319044324</v>
      </c>
      <c r="AA19" s="1">
        <f>AA18*$AF19*$AG$5</f>
        <v>2.2096476775793343</v>
      </c>
      <c r="AB19" s="1">
        <f>AB18*$AF19*$AG$5</f>
        <v>2.2546590191596541</v>
      </c>
      <c r="AC19" s="1">
        <f>AC18*$AF19*$AG$5</f>
        <v>2.2989469641788611</v>
      </c>
      <c r="AD19" s="1">
        <f>AD18*$AF19*$AG$5</f>
        <v>2.3425476824650122</v>
      </c>
      <c r="AE19" s="5">
        <f>AE18*$AF19*$AG$5</f>
        <v>2.3854943899768717</v>
      </c>
      <c r="AF19" s="1">
        <f>1+C36</f>
        <v>1.125</v>
      </c>
    </row>
    <row r="20" spans="1:33" x14ac:dyDescent="0.3">
      <c r="A20" s="14"/>
      <c r="B20" s="13" t="s">
        <v>14</v>
      </c>
      <c r="C20" s="2">
        <v>1</v>
      </c>
      <c r="D20" s="1">
        <f>D12*$AG$9</f>
        <v>0.24000000000000005</v>
      </c>
      <c r="E20" s="1">
        <f>E12*$AG$9</f>
        <v>0.27300000000000002</v>
      </c>
      <c r="F20" s="1">
        <f>F12*$AG$9</f>
        <v>0.30303000000000008</v>
      </c>
      <c r="G20" s="1">
        <f>G12*$AG$9</f>
        <v>0.33080775000000012</v>
      </c>
      <c r="H20" s="1">
        <f>H12*$AG$9</f>
        <v>0.35679978750000008</v>
      </c>
      <c r="I20" s="1">
        <f>I12*$AG$9</f>
        <v>0.38132977289062514</v>
      </c>
      <c r="J20" s="1">
        <f>J12*$AG$9</f>
        <v>0.40463325901171887</v>
      </c>
      <c r="K20" s="1">
        <f>K12*$AG$9</f>
        <v>0.42688808825736341</v>
      </c>
      <c r="L20" s="1">
        <f>L12*$AG$9</f>
        <v>0.44823249267023163</v>
      </c>
      <c r="M20" s="1">
        <f>M12*$AG$9</f>
        <v>0.46877648191761728</v>
      </c>
      <c r="N20" s="1">
        <f>N12*$AG$9</f>
        <v>0.48860933307567028</v>
      </c>
      <c r="O20" s="1">
        <f>O12*$AG$9</f>
        <v>0.50780469973221454</v>
      </c>
      <c r="P20" s="1">
        <f>P12*$AG$9</f>
        <v>0.52642420538906254</v>
      </c>
      <c r="Q20" s="1">
        <f>Q12*$AG$9</f>
        <v>0.54452003744931154</v>
      </c>
      <c r="R20" s="1">
        <f>R12*$AG$9</f>
        <v>0.56213686219031878</v>
      </c>
      <c r="S20" s="1">
        <f>S12*$AG$9</f>
        <v>0.57931326631280056</v>
      </c>
      <c r="T20" s="1">
        <f>T12*$AG$9</f>
        <v>0.59608286086396056</v>
      </c>
      <c r="U20" s="1">
        <f>U12*$AG$9</f>
        <v>0.61247513953771959</v>
      </c>
      <c r="V20" s="1">
        <f>V12*$AG$9</f>
        <v>0.62851615509704084</v>
      </c>
      <c r="W20" s="1">
        <f>W12*$AG$9</f>
        <v>0.6442290589744667</v>
      </c>
      <c r="X20" s="1">
        <f>X12*$AG$9</f>
        <v>0.65963453647168213</v>
      </c>
      <c r="Y20" s="1">
        <f>Y12*$AG$9</f>
        <v>0.67475116126582479</v>
      </c>
      <c r="Z20" s="1">
        <f>Z12*$AG$9</f>
        <v>0.689595686813673</v>
      </c>
      <c r="AA20" s="1">
        <f>AA12*$AG$9</f>
        <v>0.70418328788088536</v>
      </c>
      <c r="AB20" s="1">
        <f>AB12*$AG$9</f>
        <v>0.71852776226364401</v>
      </c>
      <c r="AC20" s="1">
        <f>AC12*$AG$9</f>
        <v>0.73264170045096566</v>
      </c>
      <c r="AD20" s="1">
        <f>AD12*$AG$9</f>
        <v>0.74653662925262187</v>
      </c>
      <c r="AE20" s="1">
        <f>AE12*$AG$9</f>
        <v>0.76022313412225329</v>
      </c>
    </row>
    <row r="21" spans="1:33" x14ac:dyDescent="0.3">
      <c r="A21" s="14"/>
      <c r="B21" s="14"/>
      <c r="C21" s="2">
        <v>2</v>
      </c>
      <c r="D21" s="1">
        <f>D20*$AF21*$AG$5</f>
        <v>0.33120000000000011</v>
      </c>
      <c r="E21" s="1">
        <f>E20*$AF21*$AG$5</f>
        <v>0.37674000000000002</v>
      </c>
      <c r="F21" s="1">
        <f>F20*$AF21*$AG$5</f>
        <v>0.41818140000000009</v>
      </c>
      <c r="G21" s="1">
        <f>G20*$AF21*$AG$5</f>
        <v>0.45651469500000014</v>
      </c>
      <c r="H21" s="1">
        <f>H20*$AF21*$AG$5</f>
        <v>0.49238370675000021</v>
      </c>
      <c r="I21" s="1">
        <f>I20*$AF21*$AG$5</f>
        <v>0.52623508658906271</v>
      </c>
      <c r="J21" s="1">
        <f>J20*$AF21*$AG$5</f>
        <v>0.55839389743617207</v>
      </c>
      <c r="K21" s="1">
        <f>K20*$AF21*$AG$5</f>
        <v>0.5891055617951616</v>
      </c>
      <c r="L21" s="1">
        <f>L20*$AF21*$AG$5</f>
        <v>0.61856083988491961</v>
      </c>
      <c r="M21" s="1">
        <f>M20*$AF21*$AG$5</f>
        <v>0.64691154504631188</v>
      </c>
      <c r="N21" s="1">
        <f>N20*$AF21*$AG$5</f>
        <v>0.67428087964442507</v>
      </c>
      <c r="O21" s="1">
        <f>O20*$AF21*$AG$5</f>
        <v>0.70077048563045607</v>
      </c>
      <c r="P21" s="1">
        <f>P20*$AF21*$AG$5</f>
        <v>0.72646540343690624</v>
      </c>
      <c r="Q21" s="1">
        <f>Q20*$AF21*$AG$5</f>
        <v>0.75143765168004995</v>
      </c>
      <c r="R21" s="1">
        <f>R20*$AF21*$AG$5</f>
        <v>0.77574886982263991</v>
      </c>
      <c r="S21" s="1">
        <f>S20*$AF21*$AG$5</f>
        <v>0.79945230751166474</v>
      </c>
      <c r="T21" s="1">
        <f>T20*$AF21*$AG$5</f>
        <v>0.82259434799226561</v>
      </c>
      <c r="U21" s="1">
        <f>U20*$AF21*$AG$5</f>
        <v>0.84521569256205309</v>
      </c>
      <c r="V21" s="1">
        <f>V20*$AF21*$AG$5</f>
        <v>0.86735229403391645</v>
      </c>
      <c r="W21" s="1">
        <f>W20*$AF21*$AG$5</f>
        <v>0.88903610138476408</v>
      </c>
      <c r="X21" s="1">
        <f>X20*$AF21*$AG$5</f>
        <v>0.91029566033092135</v>
      </c>
      <c r="Y21" s="1">
        <f>Y20*$AF21*$AG$5</f>
        <v>0.9311566025468383</v>
      </c>
      <c r="Z21" s="1">
        <f>Z20*$AF21*$AG$5</f>
        <v>0.95164204780286865</v>
      </c>
      <c r="AA21" s="1">
        <f>AA20*$AF21*$AG$5</f>
        <v>0.97177293727562186</v>
      </c>
      <c r="AB21" s="1">
        <f>AB20*$AF21*$AG$5</f>
        <v>0.99156831192382877</v>
      </c>
      <c r="AC21" s="1">
        <f>AC20*$AF21*$AG$5</f>
        <v>1.0110455466223327</v>
      </c>
      <c r="AD21" s="1">
        <f>AD20*$AF21*$AG$5</f>
        <v>1.0302205483686182</v>
      </c>
      <c r="AE21" s="5">
        <f>AE20*$AF21*$AG$5</f>
        <v>1.0491079250887096</v>
      </c>
      <c r="AF21" s="1">
        <f>1+C30</f>
        <v>1.5</v>
      </c>
    </row>
    <row r="22" spans="1:33" x14ac:dyDescent="0.3">
      <c r="A22" s="14"/>
      <c r="B22" s="14"/>
      <c r="C22" s="2">
        <v>3</v>
      </c>
      <c r="D22" s="1">
        <f>D21*$AF22*$AG$5</f>
        <v>0.40627200000000013</v>
      </c>
      <c r="E22" s="1">
        <f>E21*$AF22*$AG$5</f>
        <v>0.4621344</v>
      </c>
      <c r="F22" s="1">
        <f>F21*$AF22*$AG$5</f>
        <v>0.51296918400000002</v>
      </c>
      <c r="G22" s="1">
        <f>G21*$AF22*$AG$5</f>
        <v>0.5599913592000002</v>
      </c>
      <c r="H22" s="1">
        <f>H21*$AF22*$AG$5</f>
        <v>0.60399068028000025</v>
      </c>
      <c r="I22" s="1">
        <f>I21*$AF22*$AG$5</f>
        <v>0.64551503954925016</v>
      </c>
      <c r="J22" s="1">
        <f>J21*$AF22*$AG$5</f>
        <v>0.68496318085503771</v>
      </c>
      <c r="K22" s="1">
        <f>K21*$AF22*$AG$5</f>
        <v>0.72263615580206486</v>
      </c>
      <c r="L22" s="1">
        <f>L21*$AF22*$AG$5</f>
        <v>0.75876796359216803</v>
      </c>
      <c r="M22" s="1">
        <f>M21*$AF22*$AG$5</f>
        <v>0.79354482859014253</v>
      </c>
      <c r="N22" s="1">
        <f>N21*$AF22*$AG$5</f>
        <v>0.82711787903049472</v>
      </c>
      <c r="O22" s="1">
        <f>O21*$AF22*$AG$5</f>
        <v>0.85961179570669277</v>
      </c>
      <c r="P22" s="1">
        <f>P21*$AF22*$AG$5</f>
        <v>0.891130894882605</v>
      </c>
      <c r="Q22" s="1">
        <f>Q21*$AF22*$AG$5</f>
        <v>0.92176351939419465</v>
      </c>
      <c r="R22" s="1">
        <f>R21*$AF22*$AG$5</f>
        <v>0.9515852803157715</v>
      </c>
      <c r="S22" s="1">
        <f>S21*$AF22*$AG$5</f>
        <v>0.98066149721430862</v>
      </c>
      <c r="T22" s="1">
        <f>T21*$AF22*$AG$5</f>
        <v>1.0090490668705123</v>
      </c>
      <c r="U22" s="1">
        <f>U21*$AF22*$AG$5</f>
        <v>1.0367979162094516</v>
      </c>
      <c r="V22" s="1">
        <f>V21*$AF22*$AG$5</f>
        <v>1.0639521473482709</v>
      </c>
      <c r="W22" s="1">
        <f>W21*$AF22*$AG$5</f>
        <v>1.0905509510319771</v>
      </c>
      <c r="X22" s="1">
        <f>X21*$AF22*$AG$5</f>
        <v>1.1166293433392633</v>
      </c>
      <c r="Y22" s="1">
        <f>Y21*$AF22*$AG$5</f>
        <v>1.1422187657907883</v>
      </c>
      <c r="Z22" s="1">
        <f>Z21*$AF22*$AG$5</f>
        <v>1.1673475786381855</v>
      </c>
      <c r="AA22" s="1">
        <f>AA21*$AF22*$AG$5</f>
        <v>1.1920414697247628</v>
      </c>
      <c r="AB22" s="1">
        <f>AB21*$AF22*$AG$5</f>
        <v>1.2163237959598965</v>
      </c>
      <c r="AC22" s="1">
        <f>AC21*$AF22*$AG$5</f>
        <v>1.2402158705233948</v>
      </c>
      <c r="AD22" s="1">
        <f>AD21*$AF22*$AG$5</f>
        <v>1.2637372059988383</v>
      </c>
      <c r="AE22" s="5">
        <f>AE21*$AF22*$AG$5</f>
        <v>1.2869057214421507</v>
      </c>
      <c r="AF22" s="1">
        <f>1+C31</f>
        <v>1.3333333333333333</v>
      </c>
    </row>
    <row r="23" spans="1:33" x14ac:dyDescent="0.3">
      <c r="A23" s="14"/>
      <c r="B23" s="14"/>
      <c r="C23" s="2">
        <v>4</v>
      </c>
      <c r="D23" s="1">
        <f>D22*$AF23*$AG$5</f>
        <v>0.46721280000000021</v>
      </c>
      <c r="E23" s="1">
        <f>E22*$AF23*$AG$5</f>
        <v>0.53145456000000002</v>
      </c>
      <c r="F23" s="1">
        <f>F22*$AF23*$AG$5</f>
        <v>0.58991456160000011</v>
      </c>
      <c r="G23" s="1">
        <f>G22*$AF23*$AG$5</f>
        <v>0.64399006308000029</v>
      </c>
      <c r="H23" s="1">
        <f>H22*$AF23*$AG$5</f>
        <v>0.69458928232200035</v>
      </c>
      <c r="I23" s="1">
        <f>I22*$AF23*$AG$5</f>
        <v>0.74234229548163766</v>
      </c>
      <c r="J23" s="1">
        <f>J22*$AF23*$AG$5</f>
        <v>0.78770765798329345</v>
      </c>
      <c r="K23" s="1">
        <f>K22*$AF23*$AG$5</f>
        <v>0.83103157917237469</v>
      </c>
      <c r="L23" s="1">
        <f>L22*$AF23*$AG$5</f>
        <v>0.8725831581309933</v>
      </c>
      <c r="M23" s="1">
        <f>M22*$AF23*$AG$5</f>
        <v>0.9125765528786639</v>
      </c>
      <c r="N23" s="1">
        <f>N22*$AF23*$AG$5</f>
        <v>0.951185560885069</v>
      </c>
      <c r="O23" s="1">
        <f>O22*$AF23*$AG$5</f>
        <v>0.98855356506269676</v>
      </c>
      <c r="P23" s="1">
        <f>P22*$AF23*$AG$5</f>
        <v>1.024800529114996</v>
      </c>
      <c r="Q23" s="1">
        <f>Q22*$AF23*$AG$5</f>
        <v>1.0600280473033239</v>
      </c>
      <c r="R23" s="1">
        <f>R22*$AF23*$AG$5</f>
        <v>1.0943230723631372</v>
      </c>
      <c r="S23" s="1">
        <f>S22*$AF23*$AG$5</f>
        <v>1.1277607217964549</v>
      </c>
      <c r="T23" s="1">
        <f>T22*$AF23*$AG$5</f>
        <v>1.1604064269010892</v>
      </c>
      <c r="U23" s="1">
        <f>U22*$AF23*$AG$5</f>
        <v>1.1923176036408694</v>
      </c>
      <c r="V23" s="1">
        <f>V22*$AF23*$AG$5</f>
        <v>1.2235449694505116</v>
      </c>
      <c r="W23" s="1">
        <f>W22*$AF23*$AG$5</f>
        <v>1.2541335936867737</v>
      </c>
      <c r="X23" s="1">
        <f>X22*$AF23*$AG$5</f>
        <v>1.2841237448401528</v>
      </c>
      <c r="Y23" s="1">
        <f>Y22*$AF23*$AG$5</f>
        <v>1.3135515806594067</v>
      </c>
      <c r="Z23" s="1">
        <f>Z22*$AF23*$AG$5</f>
        <v>1.3424497154339134</v>
      </c>
      <c r="AA23" s="1">
        <f>AA22*$AF23*$AG$5</f>
        <v>1.3708476901834772</v>
      </c>
      <c r="AB23" s="1">
        <f>AB22*$AF23*$AG$5</f>
        <v>1.3987723653538811</v>
      </c>
      <c r="AC23" s="1">
        <f>AC22*$AF23*$AG$5</f>
        <v>1.4262482511019041</v>
      </c>
      <c r="AD23" s="1">
        <f>AD22*$AF23*$AG$5</f>
        <v>1.4532977868986641</v>
      </c>
      <c r="AE23" s="5">
        <f>AE22*$AF23*$AG$5</f>
        <v>1.4799415796584732</v>
      </c>
      <c r="AF23" s="1">
        <f>1+C32</f>
        <v>1.25</v>
      </c>
    </row>
    <row r="24" spans="1:33" x14ac:dyDescent="0.3">
      <c r="A24" s="14"/>
      <c r="B24" s="14"/>
      <c r="C24" s="2">
        <v>5</v>
      </c>
      <c r="D24" s="1">
        <f>D23*$AF24*$AG$5</f>
        <v>0.51580293120000031</v>
      </c>
      <c r="E24" s="1">
        <f>E23*$AF24*$AG$5</f>
        <v>0.58672583424000002</v>
      </c>
      <c r="F24" s="1">
        <f>F23*$AF24*$AG$5</f>
        <v>0.65126567600640017</v>
      </c>
      <c r="G24" s="1">
        <f>G23*$AF24*$AG$5</f>
        <v>0.71096502964032027</v>
      </c>
      <c r="H24" s="1">
        <f>H23*$AF24*$AG$5</f>
        <v>0.76682656768348834</v>
      </c>
      <c r="I24" s="1">
        <f>I23*$AF24*$AG$5</f>
        <v>0.81954589421172808</v>
      </c>
      <c r="J24" s="1">
        <f>J23*$AF24*$AG$5</f>
        <v>0.86962925441355599</v>
      </c>
      <c r="K24" s="1">
        <f>K23*$AF24*$AG$5</f>
        <v>0.91745886340630167</v>
      </c>
      <c r="L24" s="1">
        <f>L23*$AF24*$AG$5</f>
        <v>0.96333180657661655</v>
      </c>
      <c r="M24" s="1">
        <f>M23*$AF24*$AG$5</f>
        <v>1.0074845143780451</v>
      </c>
      <c r="N24" s="1">
        <f>N23*$AF24*$AG$5</f>
        <v>1.0501088592171162</v>
      </c>
      <c r="O24" s="1">
        <f>O23*$AF24*$AG$5</f>
        <v>1.0913631358292173</v>
      </c>
      <c r="P24" s="1">
        <f>P23*$AF24*$AG$5</f>
        <v>1.1313797841429556</v>
      </c>
      <c r="Q24" s="1">
        <f>Q23*$AF24*$AG$5</f>
        <v>1.1702709642228697</v>
      </c>
      <c r="R24" s="1">
        <f>R23*$AF24*$AG$5</f>
        <v>1.2081326718889034</v>
      </c>
      <c r="S24" s="1">
        <f>S23*$AF24*$AG$5</f>
        <v>1.2450478368632862</v>
      </c>
      <c r="T24" s="1">
        <f>T23*$AF24*$AG$5</f>
        <v>1.2810886952988025</v>
      </c>
      <c r="U24" s="1">
        <f>U23*$AF24*$AG$5</f>
        <v>1.3163186344195197</v>
      </c>
      <c r="V24" s="1">
        <f>V23*$AF24*$AG$5</f>
        <v>1.350793646273365</v>
      </c>
      <c r="W24" s="1">
        <f>W23*$AF24*$AG$5</f>
        <v>1.3845634874301982</v>
      </c>
      <c r="X24" s="1">
        <f>X23*$AF24*$AG$5</f>
        <v>1.4176726143035285</v>
      </c>
      <c r="Y24" s="1">
        <f>Y23*$AF24*$AG$5</f>
        <v>1.4501609450479851</v>
      </c>
      <c r="Z24" s="1">
        <f>Z23*$AF24*$AG$5</f>
        <v>1.4820644858390404</v>
      </c>
      <c r="AA24" s="1">
        <f>AA23*$AF24*$AG$5</f>
        <v>1.5134158499625587</v>
      </c>
      <c r="AB24" s="1">
        <f>AB23*$AF24*$AG$5</f>
        <v>1.5442446913506847</v>
      </c>
      <c r="AC24" s="1">
        <f>AC23*$AF24*$AG$5</f>
        <v>1.5745780692165021</v>
      </c>
      <c r="AD24" s="1">
        <f>AD23*$AF24*$AG$5</f>
        <v>1.6044407567361252</v>
      </c>
      <c r="AE24" s="5">
        <f>AE23*$AF24*$AG$5</f>
        <v>1.6338555039429543</v>
      </c>
      <c r="AF24" s="1">
        <f>1+C33</f>
        <v>1.2</v>
      </c>
    </row>
    <row r="25" spans="1:33" x14ac:dyDescent="0.3">
      <c r="A25" s="14"/>
      <c r="B25" s="14"/>
      <c r="C25" s="2">
        <v>6</v>
      </c>
      <c r="D25" s="1">
        <f>D24*$AF25*$AG$5</f>
        <v>0.55362847948800042</v>
      </c>
      <c r="E25" s="1">
        <f>E24*$AF25*$AG$5</f>
        <v>0.62975239541760009</v>
      </c>
      <c r="F25" s="1">
        <f>F24*$AF25*$AG$5</f>
        <v>0.69902515891353623</v>
      </c>
      <c r="G25" s="1">
        <f>G24*$AF25*$AG$5</f>
        <v>0.76310246514727709</v>
      </c>
      <c r="H25" s="1">
        <f>H24*$AF25*$AG$5</f>
        <v>0.82306051598027752</v>
      </c>
      <c r="I25" s="1">
        <f>I24*$AF25*$AG$5</f>
        <v>0.87964592645392159</v>
      </c>
      <c r="J25" s="1">
        <f>J24*$AF25*$AG$5</f>
        <v>0.93340206640388346</v>
      </c>
      <c r="K25" s="1">
        <f>K24*$AF25*$AG$5</f>
        <v>0.98473918005609717</v>
      </c>
      <c r="L25" s="1">
        <f>L24*$AF25*$AG$5</f>
        <v>1.0339761390589017</v>
      </c>
      <c r="M25" s="1">
        <f>M24*$AF25*$AG$5</f>
        <v>1.081366712099102</v>
      </c>
      <c r="N25" s="1">
        <f>N24*$AF25*$AG$5</f>
        <v>1.1271168422263715</v>
      </c>
      <c r="O25" s="1">
        <f>O24*$AF25*$AG$5</f>
        <v>1.1713964324566934</v>
      </c>
      <c r="P25" s="1">
        <f>P24*$AF25*$AG$5</f>
        <v>1.2143476349801059</v>
      </c>
      <c r="Q25" s="1">
        <f>Q24*$AF25*$AG$5</f>
        <v>1.256090834932547</v>
      </c>
      <c r="R25" s="1">
        <f>R24*$AF25*$AG$5</f>
        <v>1.2967290678274233</v>
      </c>
      <c r="S25" s="1">
        <f>S24*$AF25*$AG$5</f>
        <v>1.3363513448999274</v>
      </c>
      <c r="T25" s="1">
        <f>T24*$AF25*$AG$5</f>
        <v>1.3750351996207149</v>
      </c>
      <c r="U25" s="1">
        <f>U24*$AF25*$AG$5</f>
        <v>1.4128486676102847</v>
      </c>
      <c r="V25" s="1">
        <f>V24*$AF25*$AG$5</f>
        <v>1.4498518470000785</v>
      </c>
      <c r="W25" s="1">
        <f>W24*$AF25*$AG$5</f>
        <v>1.4860981431750795</v>
      </c>
      <c r="X25" s="1">
        <f>X24*$AF25*$AG$5</f>
        <v>1.5216352726857874</v>
      </c>
      <c r="Y25" s="1">
        <f>Y24*$AF25*$AG$5</f>
        <v>1.5565060810181708</v>
      </c>
      <c r="Z25" s="1">
        <f>Z24*$AF25*$AG$5</f>
        <v>1.5907492148005702</v>
      </c>
      <c r="AA25" s="1">
        <f>AA24*$AF25*$AG$5</f>
        <v>1.6243996789598132</v>
      </c>
      <c r="AB25" s="1">
        <f>AB24*$AF25*$AG$5</f>
        <v>1.6574893020497352</v>
      </c>
      <c r="AC25" s="1">
        <f>AC24*$AF25*$AG$5</f>
        <v>1.6900471276257125</v>
      </c>
      <c r="AD25" s="1">
        <f>AD24*$AF25*$AG$5</f>
        <v>1.7220997455634413</v>
      </c>
      <c r="AE25" s="5">
        <f>AE24*$AF25*$AG$5</f>
        <v>1.7536715742321045</v>
      </c>
      <c r="AF25" s="1">
        <f>1+C34</f>
        <v>1.1666666666666667</v>
      </c>
    </row>
    <row r="26" spans="1:33" x14ac:dyDescent="0.3">
      <c r="A26" s="14"/>
      <c r="B26" s="14"/>
      <c r="C26" s="2">
        <v>7</v>
      </c>
      <c r="D26" s="1">
        <f>D25*$AF26*$AG$5</f>
        <v>0.58210080129024044</v>
      </c>
      <c r="E26" s="1">
        <f>E25*$AF26*$AG$5</f>
        <v>0.66213966146764802</v>
      </c>
      <c r="F26" s="1">
        <f>F25*$AF26*$AG$5</f>
        <v>0.73497502422908945</v>
      </c>
      <c r="G26" s="1">
        <f>G25*$AF26*$AG$5</f>
        <v>0.80234773478342281</v>
      </c>
      <c r="H26" s="1">
        <f>H25*$AF26*$AG$5</f>
        <v>0.86538934251640609</v>
      </c>
      <c r="I26" s="1">
        <f>I25*$AF26*$AG$5</f>
        <v>0.92488485981440893</v>
      </c>
      <c r="J26" s="1">
        <f>J25*$AF26*$AG$5</f>
        <v>0.98140560124751164</v>
      </c>
      <c r="K26" s="1">
        <f>K25*$AF26*$AG$5</f>
        <v>1.0353829093161251</v>
      </c>
      <c r="L26" s="1">
        <f>L25*$AF26*$AG$5</f>
        <v>1.0871520547819311</v>
      </c>
      <c r="M26" s="1">
        <f>M25*$AF26*$AG$5</f>
        <v>1.1369798572927701</v>
      </c>
      <c r="N26" s="1">
        <f>N25*$AF26*$AG$5</f>
        <v>1.1850828512551563</v>
      </c>
      <c r="O26" s="1">
        <f>O25*$AF26*$AG$5</f>
        <v>1.2316396775544662</v>
      </c>
      <c r="P26" s="1">
        <f>P25*$AF26*$AG$5</f>
        <v>1.276799799064797</v>
      </c>
      <c r="Q26" s="1">
        <f>Q25*$AF26*$AG$5</f>
        <v>1.3206897921576495</v>
      </c>
      <c r="R26" s="1">
        <f>R25*$AF26*$AG$5</f>
        <v>1.3634179913156905</v>
      </c>
      <c r="S26" s="1">
        <f>S25*$AF26*$AG$5</f>
        <v>1.4050779854947808</v>
      </c>
      <c r="T26" s="1">
        <f>T25*$AF26*$AG$5</f>
        <v>1.4457512956012086</v>
      </c>
      <c r="U26" s="1">
        <f>U25*$AF26*$AG$5</f>
        <v>1.4855094562302422</v>
      </c>
      <c r="V26" s="1">
        <f>V25*$AF26*$AG$5</f>
        <v>1.5244156562743683</v>
      </c>
      <c r="W26" s="1">
        <f>W25*$AF26*$AG$5</f>
        <v>1.5625260476812264</v>
      </c>
      <c r="X26" s="1">
        <f>X25*$AF26*$AG$5</f>
        <v>1.5998908009953423</v>
      </c>
      <c r="Y26" s="1">
        <f>Y25*$AF26*$AG$5</f>
        <v>1.6365549651848195</v>
      </c>
      <c r="Z26" s="1">
        <f>Z25*$AF26*$AG$5</f>
        <v>1.6725591744188852</v>
      </c>
      <c r="AA26" s="1">
        <f>AA25*$AF26*$AG$5</f>
        <v>1.7079402338777465</v>
      </c>
      <c r="AB26" s="1">
        <f>AB25*$AF26*$AG$5</f>
        <v>1.7427316090122931</v>
      </c>
      <c r="AC26" s="1">
        <f>AC25*$AF26*$AG$5</f>
        <v>1.7769638370464633</v>
      </c>
      <c r="AD26" s="1">
        <f>AD25*$AF26*$AG$5</f>
        <v>1.8106648753352754</v>
      </c>
      <c r="AE26" s="5">
        <f>AE25*$AF26*$AG$5</f>
        <v>1.8438603980497557</v>
      </c>
      <c r="AF26" s="1">
        <f>1+C35</f>
        <v>1.1428571428571428</v>
      </c>
    </row>
    <row r="27" spans="1:33" x14ac:dyDescent="0.3">
      <c r="A27" s="14"/>
      <c r="B27" s="14"/>
      <c r="C27" s="2">
        <v>8</v>
      </c>
      <c r="D27" s="1">
        <f>D26*$AF27*$AG$5</f>
        <v>0.60247432933539879</v>
      </c>
      <c r="E27" s="1">
        <f>E26*$AF27*$AG$5</f>
        <v>0.68531454961901583</v>
      </c>
      <c r="F27" s="1">
        <f>F26*$AF27*$AG$5</f>
        <v>0.76069915007710764</v>
      </c>
      <c r="G27" s="1">
        <f>G26*$AF27*$AG$5</f>
        <v>0.83042990550084261</v>
      </c>
      <c r="H27" s="1">
        <f>H26*$AF27*$AG$5</f>
        <v>0.89567796950448031</v>
      </c>
      <c r="I27" s="1">
        <f>I26*$AF27*$AG$5</f>
        <v>0.95725582990791336</v>
      </c>
      <c r="J27" s="1">
        <f>J26*$AF27*$AG$5</f>
        <v>1.0157547972911745</v>
      </c>
      <c r="K27" s="1">
        <f>K26*$AF27*$AG$5</f>
        <v>1.0716213111421895</v>
      </c>
      <c r="L27" s="1">
        <f>L26*$AF27*$AG$5</f>
        <v>1.1252023766992989</v>
      </c>
      <c r="M27" s="1">
        <f>M26*$AF27*$AG$5</f>
        <v>1.1767741522980171</v>
      </c>
      <c r="N27" s="1">
        <f>N26*$AF27*$AG$5</f>
        <v>1.2265607510490868</v>
      </c>
      <c r="O27" s="1">
        <f>O26*$AF27*$AG$5</f>
        <v>1.2747470662688725</v>
      </c>
      <c r="P27" s="1">
        <f>P26*$AF27*$AG$5</f>
        <v>1.3214877920320649</v>
      </c>
      <c r="Q27" s="1">
        <f>Q26*$AF27*$AG$5</f>
        <v>1.3669139348831674</v>
      </c>
      <c r="R27" s="1">
        <f>R26*$AF27*$AG$5</f>
        <v>1.4111376210117399</v>
      </c>
      <c r="S27" s="1">
        <f>S26*$AF27*$AG$5</f>
        <v>1.4542557149870983</v>
      </c>
      <c r="T27" s="1">
        <f>T26*$AF27*$AG$5</f>
        <v>1.496352590947251</v>
      </c>
      <c r="U27" s="1">
        <f>U26*$AF27*$AG$5</f>
        <v>1.5375022871983006</v>
      </c>
      <c r="V27" s="1">
        <f>V26*$AF27*$AG$5</f>
        <v>1.5777702042439712</v>
      </c>
      <c r="W27" s="1">
        <f>W26*$AF27*$AG$5</f>
        <v>1.6172144593500692</v>
      </c>
      <c r="X27" s="1">
        <f>X26*$AF27*$AG$5</f>
        <v>1.6558869790301796</v>
      </c>
      <c r="Y27" s="1">
        <f>Y26*$AF27*$AG$5</f>
        <v>1.6938343889662881</v>
      </c>
      <c r="Z27" s="1">
        <f>Z26*$AF27*$AG$5</f>
        <v>1.7310987455235465</v>
      </c>
      <c r="AA27" s="1">
        <f>AA26*$AF27*$AG$5</f>
        <v>1.7677181420634678</v>
      </c>
      <c r="AB27" s="1">
        <f>AB26*$AF27*$AG$5</f>
        <v>1.8037272153277233</v>
      </c>
      <c r="AC27" s="1">
        <f>AC26*$AF27*$AG$5</f>
        <v>1.8391575713430894</v>
      </c>
      <c r="AD27" s="1">
        <f>AD26*$AF27*$AG$5</f>
        <v>1.8740381459720103</v>
      </c>
      <c r="AE27" s="5">
        <f>AE26*$AF27*$AG$5</f>
        <v>1.9083955119814973</v>
      </c>
      <c r="AF27" s="1">
        <f>1+C36</f>
        <v>1.125</v>
      </c>
    </row>
    <row r="29" spans="1:33" x14ac:dyDescent="0.3">
      <c r="B29" s="1"/>
      <c r="C29" s="1"/>
      <c r="D29" s="1"/>
      <c r="E29" s="1">
        <f>(E3-D3)/E3</f>
        <v>0.25</v>
      </c>
      <c r="F29" s="1">
        <f t="shared" ref="F29:AE29" si="0">(F3-E3)/F3</f>
        <v>0.2</v>
      </c>
      <c r="G29" s="1">
        <f t="shared" si="0"/>
        <v>0.16666666666666666</v>
      </c>
      <c r="H29" s="1">
        <f t="shared" si="0"/>
        <v>0.14285714285714285</v>
      </c>
      <c r="I29" s="1">
        <f t="shared" si="0"/>
        <v>0.125</v>
      </c>
      <c r="J29" s="1">
        <f t="shared" si="0"/>
        <v>0.1111111111111111</v>
      </c>
      <c r="K29" s="1">
        <f t="shared" si="0"/>
        <v>0.1</v>
      </c>
      <c r="L29" s="1">
        <f t="shared" si="0"/>
        <v>9.0909090909090912E-2</v>
      </c>
      <c r="M29" s="1">
        <f t="shared" si="0"/>
        <v>8.3333333333333329E-2</v>
      </c>
      <c r="N29" s="1">
        <f t="shared" si="0"/>
        <v>7.6923076923076927E-2</v>
      </c>
      <c r="O29" s="1">
        <f t="shared" si="0"/>
        <v>7.1428571428571425E-2</v>
      </c>
      <c r="P29" s="1">
        <f t="shared" si="0"/>
        <v>6.6666666666666666E-2</v>
      </c>
      <c r="Q29" s="1">
        <f t="shared" si="0"/>
        <v>6.25E-2</v>
      </c>
      <c r="R29" s="1">
        <f t="shared" si="0"/>
        <v>5.8823529411764705E-2</v>
      </c>
      <c r="S29" s="1">
        <f t="shared" si="0"/>
        <v>5.5555555555555552E-2</v>
      </c>
      <c r="T29" s="1">
        <f t="shared" si="0"/>
        <v>5.2631578947368418E-2</v>
      </c>
      <c r="U29" s="1">
        <f t="shared" si="0"/>
        <v>0.05</v>
      </c>
      <c r="V29" s="1">
        <f t="shared" si="0"/>
        <v>4.7619047619047616E-2</v>
      </c>
      <c r="W29" s="1">
        <f t="shared" si="0"/>
        <v>4.5454545454545456E-2</v>
      </c>
      <c r="X29" s="1">
        <f t="shared" si="0"/>
        <v>4.3478260869565216E-2</v>
      </c>
      <c r="Y29" s="1">
        <f t="shared" si="0"/>
        <v>4.1666666666666664E-2</v>
      </c>
      <c r="Z29" s="1">
        <f t="shared" si="0"/>
        <v>0.04</v>
      </c>
      <c r="AA29" s="1">
        <f t="shared" si="0"/>
        <v>3.8461538461538464E-2</v>
      </c>
      <c r="AB29" s="1">
        <f t="shared" si="0"/>
        <v>3.7037037037037035E-2</v>
      </c>
      <c r="AC29" s="1">
        <f t="shared" si="0"/>
        <v>3.5714285714285712E-2</v>
      </c>
      <c r="AD29" s="1">
        <f t="shared" si="0"/>
        <v>3.4482758620689655E-2</v>
      </c>
      <c r="AE29" s="5">
        <f t="shared" si="0"/>
        <v>3.3333333333333333E-2</v>
      </c>
    </row>
    <row r="30" spans="1:33" x14ac:dyDescent="0.3">
      <c r="B30" s="1">
        <v>2</v>
      </c>
      <c r="C30" s="1">
        <f t="shared" ref="C30:C36" si="1">(C5-C4)/C5</f>
        <v>0.5</v>
      </c>
    </row>
    <row r="31" spans="1:33" x14ac:dyDescent="0.3">
      <c r="B31" s="1">
        <v>3</v>
      </c>
      <c r="C31" s="1">
        <f t="shared" si="1"/>
        <v>0.33333333333333331</v>
      </c>
    </row>
    <row r="32" spans="1:33" x14ac:dyDescent="0.3">
      <c r="B32" s="1">
        <v>4</v>
      </c>
      <c r="C32" s="1">
        <f t="shared" si="1"/>
        <v>0.25</v>
      </c>
      <c r="AF32" s="1" t="s">
        <v>12</v>
      </c>
      <c r="AG32" s="6" t="s">
        <v>20</v>
      </c>
    </row>
    <row r="33" spans="2:33" x14ac:dyDescent="0.3">
      <c r="B33" s="1">
        <v>5</v>
      </c>
      <c r="C33" s="1">
        <f t="shared" si="1"/>
        <v>0.2</v>
      </c>
      <c r="AF33" s="1" t="s">
        <v>13</v>
      </c>
      <c r="AG33" s="6" t="s">
        <v>21</v>
      </c>
    </row>
    <row r="34" spans="2:33" x14ac:dyDescent="0.3">
      <c r="B34" s="1">
        <v>6</v>
      </c>
      <c r="C34" s="1">
        <f t="shared" si="1"/>
        <v>0.16666666666666666</v>
      </c>
      <c r="AF34" s="1" t="s">
        <v>14</v>
      </c>
      <c r="AG34" s="6" t="s">
        <v>22</v>
      </c>
    </row>
    <row r="35" spans="2:33" x14ac:dyDescent="0.3">
      <c r="B35" s="1">
        <v>7</v>
      </c>
      <c r="C35" s="1">
        <f t="shared" si="1"/>
        <v>0.14285714285714285</v>
      </c>
    </row>
    <row r="36" spans="2:33" x14ac:dyDescent="0.3">
      <c r="B36" s="1">
        <v>8</v>
      </c>
      <c r="C36" s="1">
        <f t="shared" si="1"/>
        <v>0.125</v>
      </c>
    </row>
  </sheetData>
  <mergeCells count="8">
    <mergeCell ref="B20:B27"/>
    <mergeCell ref="A4:A27"/>
    <mergeCell ref="AF2:AF3"/>
    <mergeCell ref="AG2:AG3"/>
    <mergeCell ref="C2:C3"/>
    <mergeCell ref="B4:B11"/>
    <mergeCell ref="B12:B19"/>
    <mergeCell ref="D2:AE2"/>
  </mergeCells>
  <pageMargins left="0.7" right="0.7" top="0.75" bottom="0.75" header="0.3" footer="0.3"/>
  <pageSetup paperSize="26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8E5C5-2957-44CB-A352-92E97B1D9610}">
  <sheetPr codeName="Sheet2"/>
  <dimension ref="A3:J16"/>
  <sheetViews>
    <sheetView tabSelected="1" workbookViewId="0">
      <selection activeCell="S15" sqref="S15"/>
    </sheetView>
  </sheetViews>
  <sheetFormatPr defaultRowHeight="18.75" x14ac:dyDescent="0.3"/>
  <cols>
    <col min="1" max="1" width="21.5703125" style="24" customWidth="1"/>
    <col min="2" max="2" width="22.85546875" style="26" customWidth="1"/>
    <col min="3" max="3" width="9.42578125" style="24" customWidth="1"/>
    <col min="4" max="16384" width="9.140625" style="24"/>
  </cols>
  <sheetData>
    <row r="3" spans="1:10" ht="26.25" x14ac:dyDescent="0.4">
      <c r="A3" s="25" t="s">
        <v>37</v>
      </c>
    </row>
    <row r="4" spans="1:10" x14ac:dyDescent="0.3">
      <c r="A4" s="24" t="s">
        <v>38</v>
      </c>
    </row>
    <row r="6" spans="1:10" x14ac:dyDescent="0.3">
      <c r="A6" s="23"/>
      <c r="B6" s="27" t="s">
        <v>6</v>
      </c>
      <c r="C6" s="23"/>
      <c r="D6" s="23"/>
      <c r="E6" s="23"/>
      <c r="F6" s="23"/>
      <c r="G6" s="23"/>
      <c r="H6" s="23"/>
      <c r="I6" s="23"/>
      <c r="J6" s="23"/>
    </row>
    <row r="7" spans="1:10" x14ac:dyDescent="0.3">
      <c r="A7" s="31" t="s">
        <v>32</v>
      </c>
      <c r="B7" s="27" t="s">
        <v>7</v>
      </c>
      <c r="C7" s="23" t="s">
        <v>31</v>
      </c>
      <c r="D7" s="23"/>
      <c r="E7" s="23"/>
      <c r="F7" s="23"/>
      <c r="G7" s="23"/>
      <c r="H7" s="23"/>
      <c r="I7" s="23"/>
      <c r="J7" s="23"/>
    </row>
    <row r="8" spans="1:10" ht="37.5" x14ac:dyDescent="0.3">
      <c r="A8" s="32"/>
      <c r="B8" s="27" t="s">
        <v>9</v>
      </c>
      <c r="C8" s="28">
        <v>10</v>
      </c>
      <c r="D8" s="28">
        <v>10</v>
      </c>
      <c r="E8" s="28">
        <v>10</v>
      </c>
      <c r="F8" s="28">
        <v>10</v>
      </c>
      <c r="G8" s="28">
        <v>10</v>
      </c>
      <c r="H8" s="28">
        <v>10</v>
      </c>
      <c r="I8" s="28">
        <v>10</v>
      </c>
      <c r="J8" s="28">
        <v>10</v>
      </c>
    </row>
    <row r="9" spans="1:10" x14ac:dyDescent="0.3">
      <c r="A9" s="31" t="s">
        <v>33</v>
      </c>
      <c r="B9" s="27" t="s">
        <v>8</v>
      </c>
      <c r="C9" s="29">
        <v>1</v>
      </c>
      <c r="D9" s="29">
        <v>2</v>
      </c>
      <c r="E9" s="29">
        <v>3</v>
      </c>
      <c r="F9" s="29">
        <v>4</v>
      </c>
      <c r="G9" s="29">
        <v>5</v>
      </c>
      <c r="H9" s="29">
        <v>6</v>
      </c>
      <c r="I9" s="29">
        <v>7</v>
      </c>
      <c r="J9" s="29">
        <v>8</v>
      </c>
    </row>
    <row r="10" spans="1:10" x14ac:dyDescent="0.3">
      <c r="A10" s="32"/>
      <c r="B10" s="27"/>
      <c r="C10" s="28"/>
      <c r="D10" s="28"/>
      <c r="E10" s="28"/>
      <c r="F10" s="28"/>
      <c r="G10" s="28"/>
      <c r="H10" s="28"/>
      <c r="I10" s="28"/>
      <c r="J10" s="28"/>
    </row>
    <row r="11" spans="1:10" ht="56.25" x14ac:dyDescent="0.3">
      <c r="A11" s="33" t="s">
        <v>39</v>
      </c>
      <c r="B11" s="34" t="s">
        <v>10</v>
      </c>
      <c r="C11" s="30">
        <f>TraHeSo($C$7,C8,C9)</f>
        <v>0.53361011032170425</v>
      </c>
      <c r="D11" s="30">
        <f t="shared" ref="D11:J11" si="0">TraHeSo($C$7,D8,D9)</f>
        <v>0.73638195224395198</v>
      </c>
      <c r="E11" s="30">
        <f t="shared" si="0"/>
        <v>0.90329519475258113</v>
      </c>
      <c r="F11" s="30">
        <f t="shared" si="0"/>
        <v>1.0387894739654684</v>
      </c>
      <c r="G11" s="30">
        <f t="shared" si="0"/>
        <v>1.1468235792578771</v>
      </c>
      <c r="H11" s="30">
        <f t="shared" si="0"/>
        <v>1.2309239750701215</v>
      </c>
      <c r="I11" s="30">
        <f t="shared" si="0"/>
        <v>1.2942286366451563</v>
      </c>
      <c r="J11" s="30">
        <f t="shared" si="0"/>
        <v>1.3395266389277369</v>
      </c>
    </row>
    <row r="12" spans="1:10" ht="56.25" x14ac:dyDescent="0.3">
      <c r="A12" s="33" t="s">
        <v>40</v>
      </c>
      <c r="B12" s="34" t="s">
        <v>11</v>
      </c>
      <c r="C12" s="30">
        <f>C11*1.4</f>
        <v>0.74705415445038592</v>
      </c>
      <c r="D12" s="30">
        <f t="shared" ref="D12:J12" si="1">D11*1.4</f>
        <v>1.0309347331415326</v>
      </c>
      <c r="E12" s="30">
        <f t="shared" si="1"/>
        <v>1.2646132726536135</v>
      </c>
      <c r="F12" s="30">
        <f t="shared" si="1"/>
        <v>1.4543052635516556</v>
      </c>
      <c r="G12" s="30">
        <f t="shared" si="1"/>
        <v>1.6055530109610279</v>
      </c>
      <c r="H12" s="30">
        <f t="shared" si="1"/>
        <v>1.72329356509817</v>
      </c>
      <c r="I12" s="30">
        <f t="shared" si="1"/>
        <v>1.8119200913032187</v>
      </c>
      <c r="J12" s="30">
        <f t="shared" si="1"/>
        <v>1.8753372944988316</v>
      </c>
    </row>
    <row r="14" spans="1:10" x14ac:dyDescent="0.3">
      <c r="A14" s="24" t="s">
        <v>34</v>
      </c>
    </row>
    <row r="15" spans="1:10" x14ac:dyDescent="0.3">
      <c r="A15" s="24" t="s">
        <v>35</v>
      </c>
    </row>
    <row r="16" spans="1:10" x14ac:dyDescent="0.3">
      <c r="A16" s="24" t="s">
        <v>36</v>
      </c>
    </row>
  </sheetData>
  <pageMargins left="0.7" right="0.7" top="0.75" bottom="0.75" header="0.3" footer="0.3"/>
  <pageSetup paperSize="260" orientation="landscape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VN-DF NHUỘM ĐAI 024</dc:creator>
  <cp:lastModifiedBy>VN-DF NHUỘM ĐAI 024</cp:lastModifiedBy>
  <cp:lastPrinted>2026-07-07T01:56:30Z</cp:lastPrinted>
  <dcterms:created xsi:type="dcterms:W3CDTF">2026-06-25T03:55:09Z</dcterms:created>
  <dcterms:modified xsi:type="dcterms:W3CDTF">2026-07-07T01:59:00Z</dcterms:modified>
</cp:coreProperties>
</file>